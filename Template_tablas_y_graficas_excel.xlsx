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unnhumby.sharepoint.com/sites/dunnhumbyColombia/Shared Documents/General/CDS Colombia/CDS - Aseos/Carlos Amaya/Agente presentaciones/"/>
    </mc:Choice>
  </mc:AlternateContent>
  <xr:revisionPtr revIDLastSave="176" documentId="8_{10FF3F38-BC5B-47AA-A3EF-3BE5AFB21B42}" xr6:coauthVersionLast="47" xr6:coauthVersionMax="47" xr10:uidLastSave="{688974EE-A19B-413A-AC7F-9FD80F398B12}"/>
  <bookViews>
    <workbookView xWindow="-120" yWindow="-120" windowWidth="29040" windowHeight="15720" xr2:uid="{00000000-000D-0000-FFFF-FFFF00000000}"/>
  </bookViews>
  <sheets>
    <sheet name="02_Marca_OUTPUT" sheetId="8" r:id="rId1"/>
  </sheets>
  <definedNames>
    <definedName name="_xlnm._FilterDatabase" localSheetId="0" hidden="1">'02_Marca_OUTPUT'!$A$1:$RF$13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8" l="1"/>
  <c r="B41" i="8"/>
  <c r="D41" i="8" s="1"/>
  <c r="B42" i="8"/>
  <c r="B43" i="8"/>
  <c r="B44" i="8"/>
  <c r="B45" i="8"/>
  <c r="E45" i="8" s="1"/>
  <c r="B46" i="8"/>
  <c r="E46" i="8" s="1"/>
  <c r="B47" i="8"/>
  <c r="E47" i="8" s="1"/>
  <c r="B48" i="8"/>
  <c r="D48" i="8" s="1"/>
  <c r="B39" i="8"/>
  <c r="E39" i="8" s="1"/>
  <c r="AC29" i="8"/>
  <c r="Y25" i="8"/>
  <c r="Z25" i="8"/>
  <c r="Y26" i="8"/>
  <c r="Y27" i="8"/>
  <c r="E44" i="8"/>
  <c r="F44" i="8"/>
  <c r="G44" i="8"/>
  <c r="D45" i="8"/>
  <c r="D46" i="8"/>
  <c r="G48" i="8"/>
  <c r="C43" i="8"/>
  <c r="C48" i="8"/>
  <c r="F24" i="8"/>
  <c r="G24" i="8"/>
  <c r="H24" i="8"/>
  <c r="M24" i="8"/>
  <c r="J25" i="8"/>
  <c r="D26" i="8"/>
  <c r="H27" i="8"/>
  <c r="I27" i="8"/>
  <c r="J27" i="8"/>
  <c r="K27" i="8"/>
  <c r="L27" i="8"/>
  <c r="C27" i="8"/>
  <c r="X30" i="8"/>
  <c r="X29" i="8"/>
  <c r="X28" i="8"/>
  <c r="X27" i="8"/>
  <c r="X26" i="8"/>
  <c r="X25" i="8"/>
  <c r="X24" i="8"/>
  <c r="X23" i="8"/>
  <c r="X22" i="8"/>
  <c r="X21" i="8"/>
  <c r="P30" i="8"/>
  <c r="P29" i="8"/>
  <c r="P28" i="8"/>
  <c r="P27" i="8"/>
  <c r="P26" i="8"/>
  <c r="P25" i="8"/>
  <c r="P24" i="8"/>
  <c r="P23" i="8"/>
  <c r="P22" i="8"/>
  <c r="P21" i="8"/>
  <c r="C44" i="8"/>
  <c r="D43" i="8"/>
  <c r="E42" i="8"/>
  <c r="C41" i="8"/>
  <c r="D40" i="8"/>
  <c r="B30" i="8"/>
  <c r="Y30" i="8" s="1"/>
  <c r="B29" i="8"/>
  <c r="R29" i="8" s="1"/>
  <c r="B28" i="8"/>
  <c r="Y28" i="8" s="1"/>
  <c r="B27" i="8"/>
  <c r="D27" i="8" s="1"/>
  <c r="B26" i="8"/>
  <c r="I26" i="8" s="1"/>
  <c r="B25" i="8"/>
  <c r="K25" i="8" s="1"/>
  <c r="B24" i="8"/>
  <c r="I24" i="8" s="1"/>
  <c r="B23" i="8"/>
  <c r="R23" i="8" s="1"/>
  <c r="B22" i="8"/>
  <c r="Y22" i="8" s="1"/>
  <c r="B21" i="8"/>
  <c r="AC21" i="8" s="1"/>
  <c r="C30" i="8" l="1"/>
  <c r="M30" i="8"/>
  <c r="I30" i="8"/>
  <c r="H26" i="8"/>
  <c r="K22" i="8"/>
  <c r="R26" i="8"/>
  <c r="G30" i="8"/>
  <c r="F26" i="8"/>
  <c r="R25" i="8"/>
  <c r="AC26" i="8"/>
  <c r="E30" i="8"/>
  <c r="F30" i="8"/>
  <c r="E26" i="8"/>
  <c r="Q25" i="8"/>
  <c r="AC25" i="8"/>
  <c r="Z26" i="8"/>
  <c r="U30" i="8"/>
  <c r="L30" i="8"/>
  <c r="K30" i="8"/>
  <c r="G27" i="8"/>
  <c r="E24" i="8"/>
  <c r="R30" i="8"/>
  <c r="U24" i="8"/>
  <c r="J30" i="8"/>
  <c r="F27" i="8"/>
  <c r="L22" i="8"/>
  <c r="Q27" i="8"/>
  <c r="AC30" i="8"/>
  <c r="H30" i="8"/>
  <c r="G26" i="8"/>
  <c r="D22" i="8"/>
  <c r="Q26" i="8"/>
  <c r="AC27" i="8"/>
  <c r="E48" i="8"/>
  <c r="D47" i="8"/>
  <c r="F47" i="8"/>
  <c r="F48" i="8"/>
  <c r="G47" i="8"/>
  <c r="D39" i="8"/>
  <c r="M21" i="8"/>
  <c r="L21" i="8"/>
  <c r="D24" i="8"/>
  <c r="K21" i="8"/>
  <c r="C26" i="8"/>
  <c r="L26" i="8"/>
  <c r="G25" i="8"/>
  <c r="F23" i="8"/>
  <c r="C47" i="8"/>
  <c r="D42" i="8"/>
  <c r="Y21" i="8"/>
  <c r="C25" i="8"/>
  <c r="D30" i="8"/>
  <c r="K26" i="8"/>
  <c r="F25" i="8"/>
  <c r="E23" i="8"/>
  <c r="C46" i="8"/>
  <c r="G46" i="8"/>
  <c r="G41" i="8"/>
  <c r="Q30" i="8"/>
  <c r="Z30" i="8"/>
  <c r="U27" i="8"/>
  <c r="C24" i="8"/>
  <c r="F29" i="8"/>
  <c r="J26" i="8"/>
  <c r="E25" i="8"/>
  <c r="D23" i="8"/>
  <c r="C45" i="8"/>
  <c r="F46" i="8"/>
  <c r="F41" i="8"/>
  <c r="Q29" i="8"/>
  <c r="U26" i="8"/>
  <c r="D44" i="8"/>
  <c r="Q23" i="8"/>
  <c r="Z24" i="8"/>
  <c r="I25" i="8"/>
  <c r="M23" i="8"/>
  <c r="J21" i="8"/>
  <c r="G43" i="8"/>
  <c r="R22" i="8"/>
  <c r="Y24" i="8"/>
  <c r="AC24" i="8"/>
  <c r="M26" i="8"/>
  <c r="H25" i="8"/>
  <c r="L23" i="8"/>
  <c r="F43" i="8"/>
  <c r="Q22" i="8"/>
  <c r="U21" i="8"/>
  <c r="AC23" i="8"/>
  <c r="C23" i="8"/>
  <c r="M27" i="8"/>
  <c r="D25" i="8"/>
  <c r="M22" i="8"/>
  <c r="E41" i="8"/>
  <c r="R27" i="8"/>
  <c r="Z27" i="8"/>
  <c r="U25" i="8"/>
  <c r="C28" i="8"/>
  <c r="R28" i="8"/>
  <c r="M29" i="8"/>
  <c r="K28" i="8"/>
  <c r="G40" i="8"/>
  <c r="Z21" i="8"/>
  <c r="F40" i="8"/>
  <c r="Z23" i="8"/>
  <c r="C21" i="8"/>
  <c r="I29" i="8"/>
  <c r="G28" i="8"/>
  <c r="E27" i="8"/>
  <c r="M25" i="8"/>
  <c r="K24" i="8"/>
  <c r="I23" i="8"/>
  <c r="G22" i="8"/>
  <c r="E21" i="8"/>
  <c r="G45" i="8"/>
  <c r="G42" i="8"/>
  <c r="G39" i="8"/>
  <c r="R24" i="8"/>
  <c r="Y29" i="8"/>
  <c r="Y23" i="8"/>
  <c r="U22" i="8"/>
  <c r="D28" i="8"/>
  <c r="E29" i="8"/>
  <c r="AC28" i="8"/>
  <c r="Q28" i="8"/>
  <c r="U29" i="8"/>
  <c r="M28" i="8"/>
  <c r="I21" i="8"/>
  <c r="C22" i="8"/>
  <c r="L29" i="8"/>
  <c r="J28" i="8"/>
  <c r="J22" i="8"/>
  <c r="H21" i="8"/>
  <c r="C42" i="8"/>
  <c r="K29" i="8"/>
  <c r="I28" i="8"/>
  <c r="K23" i="8"/>
  <c r="I22" i="8"/>
  <c r="G21" i="8"/>
  <c r="E43" i="8"/>
  <c r="E40" i="8"/>
  <c r="Q21" i="8"/>
  <c r="AC22" i="8"/>
  <c r="J29" i="8"/>
  <c r="L24" i="8"/>
  <c r="J23" i="8"/>
  <c r="H22" i="8"/>
  <c r="F21" i="8"/>
  <c r="C40" i="8"/>
  <c r="R21" i="8"/>
  <c r="Z29" i="8"/>
  <c r="U23" i="8"/>
  <c r="H29" i="8"/>
  <c r="F28" i="8"/>
  <c r="L25" i="8"/>
  <c r="J24" i="8"/>
  <c r="H23" i="8"/>
  <c r="F22" i="8"/>
  <c r="D21" i="8"/>
  <c r="F45" i="8"/>
  <c r="F42" i="8"/>
  <c r="F39" i="8"/>
  <c r="Q24" i="8"/>
  <c r="Z28" i="8"/>
  <c r="Z22" i="8"/>
  <c r="Z31" i="8" s="1"/>
  <c r="AB24" i="8" s="1"/>
  <c r="D29" i="8"/>
  <c r="U28" i="8"/>
  <c r="L28" i="8"/>
  <c r="H28" i="8"/>
  <c r="C29" i="8"/>
  <c r="G29" i="8"/>
  <c r="E28" i="8"/>
  <c r="G23" i="8"/>
  <c r="E22" i="8"/>
  <c r="C39" i="8"/>
  <c r="AB27" i="8" l="1"/>
  <c r="Y31" i="8"/>
  <c r="AA24" i="8" s="1"/>
  <c r="Q31" i="8"/>
  <c r="S25" i="8" s="1"/>
  <c r="R31" i="8"/>
  <c r="T22" i="8" s="1"/>
  <c r="AB21" i="8"/>
  <c r="T23" i="8"/>
  <c r="T28" i="8"/>
  <c r="AB22" i="8"/>
  <c r="AA29" i="8"/>
  <c r="AA25" i="8"/>
  <c r="AA21" i="8"/>
  <c r="AD21" i="8" s="1"/>
  <c r="AA30" i="8"/>
  <c r="AD24" i="8"/>
  <c r="T27" i="8"/>
  <c r="T29" i="8"/>
  <c r="T24" i="8"/>
  <c r="T26" i="8"/>
  <c r="S22" i="8"/>
  <c r="S23" i="8"/>
  <c r="V23" i="8" s="1"/>
  <c r="S24" i="8"/>
  <c r="AA23" i="8"/>
  <c r="AA26" i="8"/>
  <c r="AB30" i="8"/>
  <c r="AA28" i="8"/>
  <c r="AA22" i="8"/>
  <c r="AB29" i="8"/>
  <c r="S26" i="8"/>
  <c r="AB28" i="8"/>
  <c r="S21" i="8"/>
  <c r="S28" i="8"/>
  <c r="V28" i="8" s="1"/>
  <c r="AB25" i="8"/>
  <c r="V24" i="8"/>
  <c r="AB26" i="8"/>
  <c r="AD26" i="8" s="1"/>
  <c r="AB23" i="8"/>
  <c r="AD25" i="8" l="1"/>
  <c r="T30" i="8"/>
  <c r="T25" i="8"/>
  <c r="V25" i="8" s="1"/>
  <c r="T21" i="8"/>
  <c r="S27" i="8"/>
  <c r="AA27" i="8"/>
  <c r="AD27" i="8" s="1"/>
  <c r="AD29" i="8"/>
  <c r="V27" i="8"/>
  <c r="AD23" i="8"/>
  <c r="S30" i="8"/>
  <c r="V30" i="8" s="1"/>
  <c r="S29" i="8"/>
  <c r="V29" i="8" s="1"/>
  <c r="AD22" i="8"/>
  <c r="AD30" i="8"/>
  <c r="AD28" i="8"/>
  <c r="V26" i="8"/>
  <c r="V22" i="8"/>
  <c r="V21" i="8"/>
</calcChain>
</file>

<file path=xl/sharedStrings.xml><?xml version="1.0" encoding="utf-8"?>
<sst xmlns="http://schemas.openxmlformats.org/spreadsheetml/2006/main" count="554" uniqueCount="518">
  <si>
    <t>Clientes Supermercado (Contribución)</t>
  </si>
  <si>
    <t>Frecuencia (Contribución)</t>
  </si>
  <si>
    <t>Penetración del Cliente % (Contribución)</t>
  </si>
  <si>
    <t>Precio Promedio Por Unidad (Monitoreado) (Contribución)</t>
  </si>
  <si>
    <t>Ventas $ (EPOS) (Cambio Absoluto)</t>
  </si>
  <si>
    <t>Ventas $ (EPOS) (Reciente)</t>
  </si>
  <si>
    <t>Ventas $ (EPOS) (Var%)</t>
  </si>
  <si>
    <t>Ventas</t>
  </si>
  <si>
    <t>Frecuencia</t>
  </si>
  <si>
    <t>Gasto por Cliente</t>
  </si>
  <si>
    <t>Unidades</t>
  </si>
  <si>
    <t>Share anterior</t>
  </si>
  <si>
    <t>Share reciente</t>
  </si>
  <si>
    <t>Var% Ventas</t>
  </si>
  <si>
    <t>Clientes (Var%)</t>
  </si>
  <si>
    <t>Unidades Por Visita (Monitoreado) (Contribución)</t>
  </si>
  <si>
    <t>Clientes (reciente)</t>
  </si>
  <si>
    <t>Gasto por cliente (reciente)</t>
  </si>
  <si>
    <t>Gasto por cliente (var%)</t>
  </si>
  <si>
    <t>Clientes</t>
  </si>
  <si>
    <t>Cambio en Ventas</t>
  </si>
  <si>
    <t>Var% Precio</t>
  </si>
  <si>
    <t>Unidades (EPOS) (Anterior)</t>
  </si>
  <si>
    <t>Unidades (EPOS) (Reciente)</t>
  </si>
  <si>
    <t>Unidades (EPOS) (var%)</t>
  </si>
  <si>
    <t>Var% Unidades</t>
  </si>
  <si>
    <t>Penetración</t>
  </si>
  <si>
    <t>Unidades x Visita</t>
  </si>
  <si>
    <t>Var% Clientes</t>
  </si>
  <si>
    <t>Var% Gasto</t>
  </si>
  <si>
    <t>Precio Promedio</t>
  </si>
  <si>
    <t>Precio Promedio por unidad (EPOS) (reciente)</t>
  </si>
  <si>
    <t>Precio Promedio por Unidad (EPOS) (var%)</t>
  </si>
  <si>
    <t>Clientes Supermercado</t>
  </si>
  <si>
    <t>Participación en la Categoría ($) (EPOS) (Reciente)</t>
  </si>
  <si>
    <t>Participación en la Categoría ($) (EPOS) (Anterior)</t>
  </si>
  <si>
    <t>Top 10 Marcas</t>
  </si>
  <si>
    <t>Tabla 1 - Desempeño Comercial</t>
  </si>
  <si>
    <t>Tabla 2 - Contribuciones apiladas</t>
  </si>
  <si>
    <t>Ventas $ (EPOS) (Anterior)</t>
  </si>
  <si>
    <t>Ventas anterior</t>
  </si>
  <si>
    <t>Ventas reciente</t>
  </si>
  <si>
    <t>Dif Share</t>
  </si>
  <si>
    <t>Total</t>
  </si>
  <si>
    <t>Unidades (EPOS) (Var%)</t>
  </si>
  <si>
    <t>Nivel de Análisis</t>
  </si>
  <si>
    <t>Nombre de producto</t>
  </si>
  <si>
    <t>% Tasa de Repetición (Anterior)</t>
  </si>
  <si>
    <t>% Tasa de Repetición (Cambio Absoluto)</t>
  </si>
  <si>
    <t>% Tasa de Repetición (Contribución)</t>
  </si>
  <si>
    <t>% Tasa de Repetición (Reciente)</t>
  </si>
  <si>
    <t>% Tasa de Repetición (Var%)</t>
  </si>
  <si>
    <t>% Tasa de Repetición (Vs Total de Productos)</t>
  </si>
  <si>
    <t>Almacenes vendiendo (Monitoreado) (Anterior)</t>
  </si>
  <si>
    <t>Almacenes vendiendo (Monitoreado) (Cambio Absoluto)</t>
  </si>
  <si>
    <t>Almacenes vendiendo (Monitoreado) (Contribución)</t>
  </si>
  <si>
    <t>Almacenes vendiendo (Monitoreado) (Reciente)</t>
  </si>
  <si>
    <t>Almacenes vendiendo (Monitoreado) (Var%)</t>
  </si>
  <si>
    <t>Almacenes vendiendo (Monitoreado) (Vs Total de Productos)</t>
  </si>
  <si>
    <t>Almacenes vendiendo (No monitoreado) (Anterior)</t>
  </si>
  <si>
    <t>Almacenes vendiendo (No monitoreado) (Cambio Absoluto)</t>
  </si>
  <si>
    <t>Almacenes vendiendo (No monitoreado) (Contribución)</t>
  </si>
  <si>
    <t>Almacenes vendiendo (No monitoreado) (Reciente)</t>
  </si>
  <si>
    <t>Almacenes vendiendo (No monitoreado) (Var%)</t>
  </si>
  <si>
    <t>Almacenes vendiendo (No monitoreado) (Vs Total de Productos)</t>
  </si>
  <si>
    <t>Almacenes Vendiendo EPOS (Anterior)</t>
  </si>
  <si>
    <t>Almacenes Vendiendo EPOS (Cambio Absoluto)</t>
  </si>
  <si>
    <t>Almacenes Vendiendo EPOS (Contribución)</t>
  </si>
  <si>
    <t>Almacenes Vendiendo EPOS (Reciente)</t>
  </si>
  <si>
    <t>Almacenes Vendiendo EPOS (Var%)</t>
  </si>
  <si>
    <t>Almacenes Vendiendo EPOS (Vs Total de Productos)</t>
  </si>
  <si>
    <t>Clientes (Anterior)</t>
  </si>
  <si>
    <t>Clientes (Cambio Absoluto)</t>
  </si>
  <si>
    <t>Clientes (Contribución)</t>
  </si>
  <si>
    <t>Clientes (Reciente)</t>
  </si>
  <si>
    <t>Clientes (Vs Total de Productos)</t>
  </si>
  <si>
    <t>Clientes Supermercado (Anterior)</t>
  </si>
  <si>
    <t>Clientes Supermercado (Cambio Absoluto)</t>
  </si>
  <si>
    <t>Clientes Supermercado (Reciente)</t>
  </si>
  <si>
    <t>Clientes Supermercado (Var%)</t>
  </si>
  <si>
    <t>Clientes Supermercado (Vs Total de Productos)</t>
  </si>
  <si>
    <t>Contribución $$ Mix de productos (EPOS) (Contribución)</t>
  </si>
  <si>
    <t>Contribución $$ Mix de productos (EPOS) (Var%)</t>
  </si>
  <si>
    <t>Contribución $$ Mix de productos (Identificado) (Contribución)</t>
  </si>
  <si>
    <t>Contribución $$ Mix de productos (Identificado) (Var%)</t>
  </si>
  <si>
    <t>Contribución $$ Mix de productos (No Identificado) (Contribución)</t>
  </si>
  <si>
    <t>Contribución $$ Mix de productos (No Identificado) (Var%)</t>
  </si>
  <si>
    <t>Contribución $$ productos descontinuados (EPOS) (Anterior)</t>
  </si>
  <si>
    <t>Contribución $$ productos descontinuados (EPOS) (Cambio Absoluto)</t>
  </si>
  <si>
    <t>Contribución $$ productos descontinuados (EPOS) (Contribución)</t>
  </si>
  <si>
    <t>Contribución $$ productos descontinuados (Identificado) (Anterior)</t>
  </si>
  <si>
    <t>Contribución $$ productos descontinuados (Identificado) (Cambio Absoluto)</t>
  </si>
  <si>
    <t>Contribución $$ productos descontinuados (Identificado) (Contribución)</t>
  </si>
  <si>
    <t>Contribución $$ productos descontinuados (No Identificado) (Anterior)</t>
  </si>
  <si>
    <t>Contribución $$ productos descontinuados (No Identificado) (Cambio Absoluto)</t>
  </si>
  <si>
    <t>Contribución $$ productos descontinuados (No Identificado) (Contribución)</t>
  </si>
  <si>
    <t>Contribución Efecto Precio (EPOS) (Contribución)</t>
  </si>
  <si>
    <t>Contribución Efecto Precio (EPOS) (Var%)</t>
  </si>
  <si>
    <t>Contribución Efecto Precio (Identificado) (Contribución)</t>
  </si>
  <si>
    <t>Contribución Efecto Precio (Identificado) (Var%)</t>
  </si>
  <si>
    <t>Contribución Efecto Precio (No Identificado) (Contribución)</t>
  </si>
  <si>
    <t>Contribución Efecto Precio (No Identificado) (Var%)</t>
  </si>
  <si>
    <t>Distribución ponderada VSA (Anterior)</t>
  </si>
  <si>
    <t>Distribución ponderada VSA (Cambio Absoluto)</t>
  </si>
  <si>
    <t>Distribución ponderada VSA (Contribución)</t>
  </si>
  <si>
    <t>Distribución ponderada VSA (Reciente)</t>
  </si>
  <si>
    <t>Distribución ponderada VSA (Var%)</t>
  </si>
  <si>
    <t>Distribución ponderada VSA (Vs Total de Productos)</t>
  </si>
  <si>
    <t>Frecuencia (Anterior)</t>
  </si>
  <si>
    <t>Frecuencia (Cambio Absoluto)</t>
  </si>
  <si>
    <t>Frecuencia (Reciente)</t>
  </si>
  <si>
    <t>Frecuencia (Var%)</t>
  </si>
  <si>
    <t>Frecuencia (Vs Total de Productos)</t>
  </si>
  <si>
    <t>Gasto asociado - en la categoría (Anterior)</t>
  </si>
  <si>
    <t>Gasto asociado - en la categoría (Cambio Absoluto)</t>
  </si>
  <si>
    <t>Gasto asociado - en la categoría (Contribución)</t>
  </si>
  <si>
    <t>Gasto asociado - en la categoría (Monitoreado) (Anterior)</t>
  </si>
  <si>
    <t>Gasto asociado - en la categoría (Monitoreado) (Cambio Absoluto)</t>
  </si>
  <si>
    <t>Gasto asociado - en la categoría (Monitoreado) (Contribución)</t>
  </si>
  <si>
    <t>Gasto asociado - en la categoría (Monitoreado) (Reciente)</t>
  </si>
  <si>
    <t>Gasto asociado - en la categoría (Monitoreado) (Var%)</t>
  </si>
  <si>
    <t>Gasto asociado - en la categoría (Monitoreado) (Vs Total de Productos)</t>
  </si>
  <si>
    <t>Gasto asociado - en la categoría (No Monitoreado) (Anterior)</t>
  </si>
  <si>
    <t>Gasto asociado - en la categoría (No Monitoreado) (Cambio Absoluto)</t>
  </si>
  <si>
    <t>Gasto asociado - en la categoría (No Monitoreado) (Contribución)</t>
  </si>
  <si>
    <t>Gasto asociado - en la categoría (No Monitoreado) (Reciente)</t>
  </si>
  <si>
    <t>Gasto asociado - en la categoría (No Monitoreado) (Var%)</t>
  </si>
  <si>
    <t>Gasto asociado - en la categoría (No Monitoreado) (Vs Total de Productos)</t>
  </si>
  <si>
    <t>Gasto asociado - en la categoría (Reciente)</t>
  </si>
  <si>
    <t>Gasto asociado - en la categoría (Var%)</t>
  </si>
  <si>
    <t>Gasto asociado - en la categoría (Vs Total de Productos)</t>
  </si>
  <si>
    <t>Gasto asociado a la canasta - en la categoría (Anterior)</t>
  </si>
  <si>
    <t>Gasto asociado a la canasta - en la categoría (Cambio Absoluto)</t>
  </si>
  <si>
    <t>Gasto asociado a la canasta - en la categoría (Contribución)</t>
  </si>
  <si>
    <t>Gasto Asociado a la canasta - en la categoría (Monitoreado) (Anterior)</t>
  </si>
  <si>
    <t>Gasto Asociado a la canasta - en la categoría (Monitoreado) (Cambio Absoluto)</t>
  </si>
  <si>
    <t>Gasto Asociado a la canasta - en la categoría (Monitoreado) (Contribución)</t>
  </si>
  <si>
    <t>Gasto Asociado a la canasta - en la categoría (Monitoreado) (Reciente)</t>
  </si>
  <si>
    <t>Gasto Asociado a la canasta - en la categoría (Monitoreado) (Var%)</t>
  </si>
  <si>
    <t>Gasto Asociado a la canasta - en la categoría (Monitoreado) (Vs Total de Productos)</t>
  </si>
  <si>
    <t>Gasto Asociado a la canasta - en la categoría (No Monitoreado) (Anterior)</t>
  </si>
  <si>
    <t>Gasto Asociado a la canasta - en la categoría (No Monitoreado) (Cambio Absoluto)</t>
  </si>
  <si>
    <t>Gasto Asociado a la canasta - en la categoría (No Monitoreado) (Contribución)</t>
  </si>
  <si>
    <t>Gasto Asociado a la canasta - en la categoría (No Monitoreado) (Reciente)</t>
  </si>
  <si>
    <t>Gasto Asociado a la canasta - en la categoría (No Monitoreado) (Var%)</t>
  </si>
  <si>
    <t>Gasto Asociado a la canasta - en la categoría (No Monitoreado) (Vs Total de Productos)</t>
  </si>
  <si>
    <t>Gasto asociado a la canasta - en la categoría (Reciente)</t>
  </si>
  <si>
    <t>Gasto asociado a la canasta - en la categoría (Var%)</t>
  </si>
  <si>
    <t>Gasto asociado a la canasta - en la categoría (Vs Total de Productos)</t>
  </si>
  <si>
    <t>Gasto Asociado a la canasta (Monitoreado) (Anterior)</t>
  </si>
  <si>
    <t>Gasto Asociado a la canasta (Monitoreado) (Cambio Absoluto)</t>
  </si>
  <si>
    <t>Gasto Asociado a la canasta (Monitoreado) (Contribución)</t>
  </si>
  <si>
    <t>Gasto Asociado a la canasta (Monitoreado) (Reciente)</t>
  </si>
  <si>
    <t>Gasto Asociado a la canasta (Monitoreado) (Var%)</t>
  </si>
  <si>
    <t>Gasto Asociado a la canasta (Monitoreado) (Vs Total de Productos)</t>
  </si>
  <si>
    <t>Gasto Asociado a la canasta (No monitoreado) (Anterior)</t>
  </si>
  <si>
    <t>Gasto Asociado a la canasta (No monitoreado) (Cambio Absoluto)</t>
  </si>
  <si>
    <t>Gasto Asociado a la canasta (No monitoreado) (Contribución)</t>
  </si>
  <si>
    <t>Gasto Asociado a la canasta (No monitoreado) (Reciente)</t>
  </si>
  <si>
    <t>Gasto Asociado a la canasta (No monitoreado) (Var%)</t>
  </si>
  <si>
    <t>Gasto Asociado a la canasta (No monitoreado) (Vs Total de Productos)</t>
  </si>
  <si>
    <t>Gasto Asociado a la canasta (Total) (Anterior)</t>
  </si>
  <si>
    <t>Gasto Asociado a la canasta (Total) (Cambio Absoluto)</t>
  </si>
  <si>
    <t>Gasto Asociado a la canasta (Total) (Contribución)</t>
  </si>
  <si>
    <t>Gasto Asociado a la canasta (Total) (Reciente)</t>
  </si>
  <si>
    <t>Gasto Asociado a la canasta (Total) (Var%)</t>
  </si>
  <si>
    <t>Gasto Asociado a la canasta (Total) (Vs Total de Productos)</t>
  </si>
  <si>
    <t>Gasto Asociado al cliente - en la categoría (Anterior)</t>
  </si>
  <si>
    <t>Gasto Asociado al cliente - en la categoría (Cambio Absoluto)</t>
  </si>
  <si>
    <t>Gasto Asociado al cliente - en la categoría (Contribución)</t>
  </si>
  <si>
    <t>Gasto Asociado al cliente - en la categoría (Reciente)</t>
  </si>
  <si>
    <t>Gasto Asociado al cliente - en la categoría (Var%)</t>
  </si>
  <si>
    <t>Gasto Asociado al cliente - en la categoría (Vs Total de Productos)</t>
  </si>
  <si>
    <t>Gasto Asociado al Cliente (Monitoreado) (Anterior)</t>
  </si>
  <si>
    <t>Gasto Asociado al Cliente (Monitoreado) (Cambio Absoluto)</t>
  </si>
  <si>
    <t>Gasto Asociado al Cliente (Monitoreado) (Contribución)</t>
  </si>
  <si>
    <t>Gasto Asociado al Cliente (Monitoreado) (Reciente)</t>
  </si>
  <si>
    <t>Gasto Asociado al Cliente (Monitoreado) (Var%)</t>
  </si>
  <si>
    <t>Gasto Asociado al Cliente (Monitoreado) (Vs Total de Productos)</t>
  </si>
  <si>
    <t>Gasto Asociado en la cadena (Monitoreado) (Anterior)</t>
  </si>
  <si>
    <t>Gasto Asociado en la cadena (Monitoreado) (Cambio Absoluto)</t>
  </si>
  <si>
    <t>Gasto Asociado en la cadena (Monitoreado) (Contribución)</t>
  </si>
  <si>
    <t>Gasto Asociado en la cadena (Monitoreado) (Reciente)</t>
  </si>
  <si>
    <t>Gasto Asociado en la cadena (Monitoreado) (Var%)</t>
  </si>
  <si>
    <t>Gasto Asociado en la cadena (Monitoreado) (Vs Total de Productos)</t>
  </si>
  <si>
    <t>Gasto Asociado en la cadena (No Monitoreado) (Anterior)</t>
  </si>
  <si>
    <t>Gasto Asociado en la cadena (No Monitoreado) (Cambio Absoluto)</t>
  </si>
  <si>
    <t>Gasto Asociado en la cadena (No Monitoreado) (Contribución)</t>
  </si>
  <si>
    <t>Gasto Asociado en la cadena (No Monitoreado) (Reciente)</t>
  </si>
  <si>
    <t>Gasto Asociado en la cadena (No Monitoreado) (Var%)</t>
  </si>
  <si>
    <t>Gasto Asociado en la cadena (No Monitoreado) (Vs Total de Productos)</t>
  </si>
  <si>
    <t>Gasto Asociado en la cadena (Total) (Anterior)</t>
  </si>
  <si>
    <t>Gasto Asociado en la cadena (Total) (Cambio Absoluto)</t>
  </si>
  <si>
    <t>Gasto Asociado en la cadena (Total) (Contribución)</t>
  </si>
  <si>
    <t>Gasto Asociado en la cadena (Total) (Reciente)</t>
  </si>
  <si>
    <t>Gasto Asociado en la cadena (Total) (Var%)</t>
  </si>
  <si>
    <t>Gasto Asociado en la cadena (Total) (Vs Total de Productos)</t>
  </si>
  <si>
    <t>Gasto por Cliente (Anterior)</t>
  </si>
  <si>
    <t>Gasto por Cliente (Cambio Absoluto)</t>
  </si>
  <si>
    <t>Gasto por Cliente (Contribución)</t>
  </si>
  <si>
    <t>Gasto por Cliente (Reciente)</t>
  </si>
  <si>
    <t>Gasto por Cliente (Var%)</t>
  </si>
  <si>
    <t>Gasto por Cliente (Vs Total de Productos)</t>
  </si>
  <si>
    <t>Gasto por Cliente Leal (Anterior)</t>
  </si>
  <si>
    <t>Gasto por Cliente Leal (Cambio Absoluto)</t>
  </si>
  <si>
    <t>Gasto por Cliente Leal (Reciente)</t>
  </si>
  <si>
    <t>Gasto por Cliente Leal (Var%)</t>
  </si>
  <si>
    <t>Gasto por Cliente Leal (Vs Total de Productos)</t>
  </si>
  <si>
    <t>Gasto por Visita (EPOS) (Anterior)</t>
  </si>
  <si>
    <t>Gasto por Visita (EPOS) (Cambio Absoluto)</t>
  </si>
  <si>
    <t>Gasto por Visita (EPOS) (Contribución)</t>
  </si>
  <si>
    <t>Gasto por Visita (EPOS) (Reciente)</t>
  </si>
  <si>
    <t>Gasto por Visita (EPOS) (Var%)</t>
  </si>
  <si>
    <t>Gasto por Visita (EPOS) (Vs Total de Productos)</t>
  </si>
  <si>
    <t>Gasto por Visita (Monitoreado) (Anterior)</t>
  </si>
  <si>
    <t>Gasto por Visita (Monitoreado) (Cambio Absoluto)</t>
  </si>
  <si>
    <t>Gasto por Visita (Monitoreado) (Contribución)</t>
  </si>
  <si>
    <t>Gasto por Visita (Monitoreado) (Reciente)</t>
  </si>
  <si>
    <t>Gasto por Visita (Monitoreado) (Var%)</t>
  </si>
  <si>
    <t>Gasto por Visita (Monitoreado) (Vs Total de Productos)</t>
  </si>
  <si>
    <t>Gasto por Visita (No monitoreado) (Anterior)</t>
  </si>
  <si>
    <t>Gasto por Visita (No monitoreado) (Cambio Absoluto)</t>
  </si>
  <si>
    <t>Gasto por Visita (No monitoreado) (Contribución)</t>
  </si>
  <si>
    <t>Gasto por Visita (No monitoreado) (Reciente)</t>
  </si>
  <si>
    <t>Gasto por Visita (No monitoreado) (Var%)</t>
  </si>
  <si>
    <t>Gasto por Visita (No monitoreado) (Vs Total de Productos)</t>
  </si>
  <si>
    <t>Número de Productos (EPOS) (Anterior)</t>
  </si>
  <si>
    <t>Número de Productos (EPOS) (Cambio Absoluto)</t>
  </si>
  <si>
    <t>Número de Productos (EPOS) (Contribución)</t>
  </si>
  <si>
    <t>Número de Productos (EPOS) (Reciente)</t>
  </si>
  <si>
    <t>Número de Productos (EPOS) (Var%)</t>
  </si>
  <si>
    <t>Número de Productos (EPOS) (Vs Total de Productos)</t>
  </si>
  <si>
    <t>Número de Productos (Monitoreado) (Anterior)</t>
  </si>
  <si>
    <t>Número de Productos (Monitoreado) (Cambio Absoluto)</t>
  </si>
  <si>
    <t>Número de Productos (Monitoreado) (Contribución)</t>
  </si>
  <si>
    <t>Número de Productos (Monitoreado) (Reciente)</t>
  </si>
  <si>
    <t>Número de Productos (Monitoreado) (Var%)</t>
  </si>
  <si>
    <t>Número de Productos (Monitoreado) (Vs Total de Productos)</t>
  </si>
  <si>
    <t>Número de Productos (No monitoreado) (Anterior)</t>
  </si>
  <si>
    <t>Número de Productos (No monitoreado) (Cambio Absoluto)</t>
  </si>
  <si>
    <t>Número de Productos (No monitoreado) (Contribución)</t>
  </si>
  <si>
    <t>Número de Productos (No monitoreado) (Reciente)</t>
  </si>
  <si>
    <t>Número de Productos (No monitoreado) (Var%)</t>
  </si>
  <si>
    <t>Número de Productos (No monitoreado) (Vs Total de Productos)</t>
  </si>
  <si>
    <t>Participación en la Categoría ($) (EPOS) (Cambio Absoluto)</t>
  </si>
  <si>
    <t>Participación en la Categoría ($) (EPOS) (Contribución)</t>
  </si>
  <si>
    <t>Participación en la Categoría ($) (EPOS) (Var%)</t>
  </si>
  <si>
    <t>Participación en la Categoría ($) (EPOS) (Vs Total de Productos)</t>
  </si>
  <si>
    <t>Participación en la Categoría ($) (Monitoreado) (Anterior)</t>
  </si>
  <si>
    <t>Participación en la Categoría ($) (Monitoreado) (Cambio Absoluto)</t>
  </si>
  <si>
    <t>Participación en la Categoría ($) (Monitoreado) (Contribución)</t>
  </si>
  <si>
    <t>Participación en la Categoría ($) (Monitoreado) (Reciente)</t>
  </si>
  <si>
    <t>Participación en la Categoría ($) (Monitoreado) (Var%)</t>
  </si>
  <si>
    <t>Participación en la Categoría ($) (Monitoreado) (Vs Total de Productos)</t>
  </si>
  <si>
    <t>Participación en la Categoría ($) (No monitoreado) (Anterior)</t>
  </si>
  <si>
    <t>Participación en la Categoría ($) (No monitoreado) (Cambio Absoluto)</t>
  </si>
  <si>
    <t>Participación en la Categoría ($) (No monitoreado) (Contribución)</t>
  </si>
  <si>
    <t>Participación en la Categoría ($) (No monitoreado) (Reciente)</t>
  </si>
  <si>
    <t>Participación en la Categoría ($) (No monitoreado) (Var%)</t>
  </si>
  <si>
    <t>Participación en la Categoría ($) (No monitoreado) (Vs Total de Productos)</t>
  </si>
  <si>
    <t>Participación en la Categoría (Uds) (EPOS) (Anterior)</t>
  </si>
  <si>
    <t>Participación en la Categoría (Uds) (EPOS) (Cambio Absoluto)</t>
  </si>
  <si>
    <t>Participación en la Categoría (Uds) (EPOS) (Contribución)</t>
  </si>
  <si>
    <t>Participación en la Categoría (Uds) (EPOS) (Reciente)</t>
  </si>
  <si>
    <t>Participación en la Categoría (Uds) (EPOS) (Var%)</t>
  </si>
  <si>
    <t>Participación en la Categoría (Uds) (EPOS) (Vs Total de Productos)</t>
  </si>
  <si>
    <t>Participación en la Categoría (Uds) (Monitoreado) (Anterior)</t>
  </si>
  <si>
    <t>Participación en la Categoría (Uds) (Monitoreado) (Cambio Absoluto)</t>
  </si>
  <si>
    <t>Participación en la Categoría (Uds) (Monitoreado) (Contribución)</t>
  </si>
  <si>
    <t>Participación en la Categoría (Uds) (Monitoreado) (Reciente)</t>
  </si>
  <si>
    <t>Participación en la Categoría (Uds) (Monitoreado) (Var%)</t>
  </si>
  <si>
    <t>Participación en la Categoría (Uds) (Monitoreado) (Vs Total de Productos)</t>
  </si>
  <si>
    <t>Participación en la Categoría (Uds) (No monitoreado) (Anterior)</t>
  </si>
  <si>
    <t>Participación en la Categoría (Uds) (No monitoreado) (Cambio Absoluto)</t>
  </si>
  <si>
    <t>Participación en la Categoría (Uds) (No monitoreado) (Contribución)</t>
  </si>
  <si>
    <t>Participación en la Categoría (Uds) (No monitoreado) (Reciente)</t>
  </si>
  <si>
    <t>Participación en la Categoría (Uds) (No monitoreado) (Var%)</t>
  </si>
  <si>
    <t>Participación en la Categoría (Uds) (No monitoreado) (Vs Total de Productos)</t>
  </si>
  <si>
    <t>Penetración de la Canasta (EPOS) (Anterior)</t>
  </si>
  <si>
    <t>Penetración de la Canasta (EPOS) (Cambio Absoluto)</t>
  </si>
  <si>
    <t>Penetración de la Canasta (EPOS) (Contribución)</t>
  </si>
  <si>
    <t>Penetración de la Canasta (EPOS) (Reciente)</t>
  </si>
  <si>
    <t>Penetración de la Canasta (EPOS) (Var%)</t>
  </si>
  <si>
    <t>Penetración de la Canasta (EPOS) (Vs Total de Productos)</t>
  </si>
  <si>
    <t>Penetración de la Canasta (Monitoreado) (Anterior)</t>
  </si>
  <si>
    <t>Penetración de la Canasta (Monitoreado) (Cambio Absoluto)</t>
  </si>
  <si>
    <t>Penetración de la Canasta (Monitoreado) (Contribución)</t>
  </si>
  <si>
    <t>Penetración de la Canasta (Monitoreado) (Reciente)</t>
  </si>
  <si>
    <t>Penetración de la Canasta (Monitoreado) (Var%)</t>
  </si>
  <si>
    <t>Penetración de la Canasta (Monitoreado) (Vs Total de Productos)</t>
  </si>
  <si>
    <t>Penetración de la Canasta (No monitoreado) (Anterior)</t>
  </si>
  <si>
    <t>Penetración de la Canasta (No monitoreado) (Cambio Absoluto)</t>
  </si>
  <si>
    <t>Penetración de la Canasta (No monitoreado) (Contribución)</t>
  </si>
  <si>
    <t>Penetración de la Canasta (No monitoreado) (Reciente)</t>
  </si>
  <si>
    <t>Penetración de la Canasta (No monitoreado) (Var%)</t>
  </si>
  <si>
    <t>Penetración de la Canasta (No monitoreado) (Vs Total de Productos)</t>
  </si>
  <si>
    <t>Penetración de la Categoría (Monitoreado) (Anterior)</t>
  </si>
  <si>
    <t>Penetración de la Categoría (Monitoreado) (Cambio Absoluto)</t>
  </si>
  <si>
    <t>Penetración de la Categoría (Monitoreado) (Contribución)</t>
  </si>
  <si>
    <t>Penetración de la Categoría (Monitoreado) (Reciente)</t>
  </si>
  <si>
    <t>Penetración de la Categoría (Monitoreado) (Var%)</t>
  </si>
  <si>
    <t>Penetración de la Categoría (Monitoreado) (Vs Total de Productos)</t>
  </si>
  <si>
    <t>Penetración de Leales (Anterior)</t>
  </si>
  <si>
    <t>Penetración de Leales (Cambio Absoluto)</t>
  </si>
  <si>
    <t>Penetración de Leales (Contribución)</t>
  </si>
  <si>
    <t>Penetración de Leales (Reciente)</t>
  </si>
  <si>
    <t>Penetración de Leales (Var%)</t>
  </si>
  <si>
    <t>Penetración de Leales (Vs Total de Productos)</t>
  </si>
  <si>
    <t>Penetración del Cliente % (Anterior)</t>
  </si>
  <si>
    <t>Penetración del Cliente % (Cambio Absoluto)</t>
  </si>
  <si>
    <t>Penetración del Cliente % (Reciente)</t>
  </si>
  <si>
    <t>Penetración del Cliente % (Var%)</t>
  </si>
  <si>
    <t>Penetración del Cliente % (Vs Total de Productos)</t>
  </si>
  <si>
    <t>Precio Promedio Por Unidad (EPOS) (Anterior)</t>
  </si>
  <si>
    <t>Precio Promedio Por Unidad (EPOS) (Cambio Absoluto)</t>
  </si>
  <si>
    <t>Precio Promedio Por Unidad (EPOS) (Contribución)</t>
  </si>
  <si>
    <t>Precio Promedio Por Unidad (EPOS) (Reciente)</t>
  </si>
  <si>
    <t>Precio Promedio Por Unidad (EPOS) (Var%)</t>
  </si>
  <si>
    <t>Precio Promedio Por Unidad (EPOS) (Vs Total de Productos)</t>
  </si>
  <si>
    <t>Precio Promedio Por Unidad (Monitoreado) (Anterior)</t>
  </si>
  <si>
    <t>Precio Promedio Por Unidad (Monitoreado) (Cambio Absoluto)</t>
  </si>
  <si>
    <t>Precio Promedio Por Unidad (Monitoreado) (Reciente)</t>
  </si>
  <si>
    <t>Precio Promedio Por Unidad (Monitoreado) (Var%)</t>
  </si>
  <si>
    <t>Precio Promedio Por Unidad (Monitoreado) (Vs Total de Productos)</t>
  </si>
  <si>
    <t>Precio Promedio Por Unidad (No monitoreado) (Anterior)</t>
  </si>
  <si>
    <t>Precio Promedio Por Unidad (No monitoreado) (Cambio Absoluto)</t>
  </si>
  <si>
    <t>Precio Promedio Por Unidad (No monitoreado) (Contribución)</t>
  </si>
  <si>
    <t>Precio Promedio Por Unidad (No monitoreado) (Reciente)</t>
  </si>
  <si>
    <t>Precio Promedio Por Unidad (No monitoreado) (Var%)</t>
  </si>
  <si>
    <t>Precio Promedio Por Unidad (No monitoreado) (Vs Total de Productos)</t>
  </si>
  <si>
    <t>Semanas en Venta (EPOS) (Anterior)</t>
  </si>
  <si>
    <t>Semanas en Venta (EPOS) (Cambio Absoluto)</t>
  </si>
  <si>
    <t>Semanas en Venta (EPOS) (Contribución)</t>
  </si>
  <si>
    <t>Semanas en Venta (EPOS) (Reciente)</t>
  </si>
  <si>
    <t>Semanas en Venta (EPOS) (Var%)</t>
  </si>
  <si>
    <t>Semanas en Venta (EPOS) (Vs Total de Productos)</t>
  </si>
  <si>
    <t>Semanas en Venta (Monitoreado) (Anterior)</t>
  </si>
  <si>
    <t>Semanas en Venta (Monitoreado) (Cambio Absoluto)</t>
  </si>
  <si>
    <t>Semanas en Venta (Monitoreado) (Contribución)</t>
  </si>
  <si>
    <t>Semanas en Venta (Monitoreado) (Reciente)</t>
  </si>
  <si>
    <t>Semanas en Venta (Monitoreado) (Var%)</t>
  </si>
  <si>
    <t>Semanas en Venta (Monitoreado) (Vs Total de Productos)</t>
  </si>
  <si>
    <t>Semanas en Venta (No monitoreado) (Anterior)</t>
  </si>
  <si>
    <t>Semanas en Venta (No monitoreado) (Cambio Absoluto)</t>
  </si>
  <si>
    <t>Semanas en Venta (No monitoreado) (Contribución)</t>
  </si>
  <si>
    <t>Semanas en Venta (No monitoreado) (Reciente)</t>
  </si>
  <si>
    <t>Semanas en Venta (No monitoreado) (Var%)</t>
  </si>
  <si>
    <t>Semanas en Venta (No monitoreado) (Vs Total de Productos)</t>
  </si>
  <si>
    <t>Unidades (EPOS) (Cambio Absoluto)</t>
  </si>
  <si>
    <t>Unidades (EPOS) (Vs Total de Productos)</t>
  </si>
  <si>
    <t>Unidades (Monitoreado) (Anterior)</t>
  </si>
  <si>
    <t>Unidades (Monitoreado) (Cambio Absoluto)</t>
  </si>
  <si>
    <t>Unidades (Monitoreado) (Reciente)</t>
  </si>
  <si>
    <t>Unidades (Monitoreado) (Var%)</t>
  </si>
  <si>
    <t>Unidades (Monitoreado) (Vs Total de Productos)</t>
  </si>
  <si>
    <t>Unidades (No monitoreado) (Anterior)</t>
  </si>
  <si>
    <t>Unidades (No monitoreado) (Cambio Absoluto)</t>
  </si>
  <si>
    <t>Unidades (No monitoreado) (Reciente)</t>
  </si>
  <si>
    <t>Unidades (No monitoreado) (Var%)</t>
  </si>
  <si>
    <t>Unidades (No monitoreado) (Vs Total de Productos)</t>
  </si>
  <si>
    <t>Unidades por Cliente (Anterior)</t>
  </si>
  <si>
    <t>Unidades por Cliente (Cambio Absoluto)</t>
  </si>
  <si>
    <t>Unidades por Cliente (Reciente)</t>
  </si>
  <si>
    <t>Unidades por Cliente (Var%)</t>
  </si>
  <si>
    <t>Unidades por Cliente (Vs Total de Productos)</t>
  </si>
  <si>
    <t>Unidades por Visita (Monitoreado) (Anterior)</t>
  </si>
  <si>
    <t>Unidades por Visita (Monitoreado) (Cambio Absoluto)</t>
  </si>
  <si>
    <t>Unidades por Visita (Monitoreado) (Contribución)</t>
  </si>
  <si>
    <t>Unidades por Visita (Monitoreado) (Reciente)</t>
  </si>
  <si>
    <t>Unidades por Visita (Monitoreado) (Var%)</t>
  </si>
  <si>
    <t>Unidades por Visita (Monitoreado) (Vs Total de Productos)</t>
  </si>
  <si>
    <t>Unidades Por Visita(EPOS) (Anterior)</t>
  </si>
  <si>
    <t>Unidades Por Visita(EPOS) (Cambio Absoluto)</t>
  </si>
  <si>
    <t>Unidades Por Visita(EPOS) (Contribución)</t>
  </si>
  <si>
    <t>Unidades Por Visita(EPOS) (Reciente)</t>
  </si>
  <si>
    <t>Unidades Por Visita(EPOS) (Var%)</t>
  </si>
  <si>
    <t>Unidades Por Visita(EPOS) (Vs Total de Productos)</t>
  </si>
  <si>
    <t>Unidades Por Visita(No Monitoreado) (Anterior)</t>
  </si>
  <si>
    <t>Unidades Por Visita(No Monitoreado) (Cambio Absoluto)</t>
  </si>
  <si>
    <t>Unidades Por Visita(No Monitoreado) (Contribución)</t>
  </si>
  <si>
    <t>Unidades Por Visita(No Monitoreado) (Reciente)</t>
  </si>
  <si>
    <t>Unidades Por Visita(No Monitoreado) (Var%)</t>
  </si>
  <si>
    <t>Unidades Por Visita(No Monitoreado) (Vs Total de Productos)</t>
  </si>
  <si>
    <t>Venta $$ nuevos productos (EPOS) (Cambio Absoluto)</t>
  </si>
  <si>
    <t>Venta $$ nuevos productos (EPOS) (Contribución)</t>
  </si>
  <si>
    <t>Venta $$ nuevos productos (EPOS) (Reciente)</t>
  </si>
  <si>
    <t>Venta $$ nuevos productos (Identificado) (Cambio Absoluto)</t>
  </si>
  <si>
    <t>Venta $$ nuevos productos (Identificado) (Contribución)</t>
  </si>
  <si>
    <t>Venta $$ nuevos productos (Identificado) (Reciente)</t>
  </si>
  <si>
    <t>Venta $$ nuevos productos (No Identificado) (Cambio Absoluto)</t>
  </si>
  <si>
    <t>Venta $$ nuevos productos (No Identificado) (Contribución)</t>
  </si>
  <si>
    <t>Venta $$ nuevos productos (No Identificado) (Reciente)</t>
  </si>
  <si>
    <t>Venta en unidades productos continuos (EPOS) (Anterior)</t>
  </si>
  <si>
    <t>Venta en unidades productos continuos (EPOS) (Cambio Absoluto)</t>
  </si>
  <si>
    <t>Venta en unidades productos continuos (EPOS) (Contribución)</t>
  </si>
  <si>
    <t>Venta en unidades productos continuos (EPOS) (Reciente)</t>
  </si>
  <si>
    <t>Venta en unidades productos continuos (EPOS) (Var%)</t>
  </si>
  <si>
    <t>Venta en unidades productos continuos (Identificado) (Anterior)</t>
  </si>
  <si>
    <t>Venta en unidades productos continuos (Identificado) (Cambio Absoluto)</t>
  </si>
  <si>
    <t>Venta en unidades productos continuos (Identificado) (Contribución)</t>
  </si>
  <si>
    <t>Venta en unidades productos continuos (Identificado) (Reciente)</t>
  </si>
  <si>
    <t>Venta en unidades productos continuos (Identificado) (Var%)</t>
  </si>
  <si>
    <t>Venta en unidades productos continuos (No Identificado) (Anterior)</t>
  </si>
  <si>
    <t>Venta en unidades productos continuos (No Identificado) (Cambio Absoluto)</t>
  </si>
  <si>
    <t>Venta en unidades productos continuos (No Identificado) (Contribución)</t>
  </si>
  <si>
    <t>Venta en unidades productos continuos (No Identificado) (Reciente)</t>
  </si>
  <si>
    <t>Venta en unidades productos continuos (No Identificado) (Var%)</t>
  </si>
  <si>
    <t>Ventas $ (EPOS) (Contribución)</t>
  </si>
  <si>
    <t>Ventas $ (EPOS) (Vs Total de Productos)</t>
  </si>
  <si>
    <t>Ventas $ (Monitoreado) (Anterior)</t>
  </si>
  <si>
    <t>Ventas $ (Monitoreado) (Cambio Absoluto)</t>
  </si>
  <si>
    <t>Ventas $ (Monitoreado) (Contribución)</t>
  </si>
  <si>
    <t>Ventas $ (Monitoreado) (Reciente)</t>
  </si>
  <si>
    <t>Ventas $ (Monitoreado) (Var%)</t>
  </si>
  <si>
    <t>Ventas $ (Monitoreado) (Vs Total de Productos)</t>
  </si>
  <si>
    <t>Ventas $ (No monitoreado) (Anterior)</t>
  </si>
  <si>
    <t>Ventas $ (No monitoreado) (Cambio Absoluto)</t>
  </si>
  <si>
    <t>Ventas $ (No monitoreado) (Contribución)</t>
  </si>
  <si>
    <t>Ventas $ (No monitoreado) (Reciente)</t>
  </si>
  <si>
    <t>Ventas $ (No monitoreado) (Var%)</t>
  </si>
  <si>
    <t>Ventas $ (No monitoreado) (Vs Total de Productos)</t>
  </si>
  <si>
    <t>Ventas por Almacén (EPOS) (Anterior)</t>
  </si>
  <si>
    <t>Ventas por Almacén (EPOS) (Cambio Absoluto)</t>
  </si>
  <si>
    <t>Ventas por Almacén (EPOS) (Contribución)</t>
  </si>
  <si>
    <t>Ventas por Almacén (EPOS) (Reciente)</t>
  </si>
  <si>
    <t>Ventas por Almacén (EPOS) (Var%)</t>
  </si>
  <si>
    <t>Ventas por Almacén (EPOS) (Vs Total de Productos)</t>
  </si>
  <si>
    <t>Ventas por Almacén (Monitoreado) (Anterior)</t>
  </si>
  <si>
    <t>Ventas por Almacén (Monitoreado) (Cambio Absoluto)</t>
  </si>
  <si>
    <t>Ventas por Almacén (Monitoreado) (Contribución)</t>
  </si>
  <si>
    <t>Ventas por Almacén (Monitoreado) (Reciente)</t>
  </si>
  <si>
    <t>Ventas por Almacén (Monitoreado) (Var%)</t>
  </si>
  <si>
    <t>Ventas por Almacén (Monitoreado) (Vs Total de Productos)</t>
  </si>
  <si>
    <t>Ventas por Almacén (No monitoreado) (Anterior)</t>
  </si>
  <si>
    <t>Ventas por Almacén (No monitoreado) (Cambio Absoluto)</t>
  </si>
  <si>
    <t>Ventas por Almacén (No monitoreado) (Contribución)</t>
  </si>
  <si>
    <t>Ventas por Almacén (No monitoreado) (Reciente)</t>
  </si>
  <si>
    <t>Ventas por Almacén (No monitoreado) (Var%)</t>
  </si>
  <si>
    <t>Ventas por Almacén (No monitoreado) (Vs Total de Productos)</t>
  </si>
  <si>
    <t>Ventas por Almacén (Unidades) (EPOS) (Anterior)</t>
  </si>
  <si>
    <t>Ventas por Almacén (Unidades) (EPOS) (Cambio Absoluto)</t>
  </si>
  <si>
    <t>Ventas por Almacén (Unidades) (EPOS) (Contribución)</t>
  </si>
  <si>
    <t>Ventas por Almacén (Unidades) (EPOS) (Reciente)</t>
  </si>
  <si>
    <t>Ventas por Almacén (Unidades) (EPOS) (Var%)</t>
  </si>
  <si>
    <t>Ventas por Almacén (Unidades) (EPOS) (Vs Total de Productos)</t>
  </si>
  <si>
    <t>Ventas por Almacén (Unidades) (Monitoreado) (Anterior)</t>
  </si>
  <si>
    <t>Ventas por Almacén (Unidades) (Monitoreado) (Cambio Absoluto)</t>
  </si>
  <si>
    <t>Ventas por Almacén (Unidades) (Monitoreado) (Contribución)</t>
  </si>
  <si>
    <t>Ventas por Almacén (Unidades) (Monitoreado) (Reciente)</t>
  </si>
  <si>
    <t>Ventas por Almacén (Unidades) (Monitoreado) (Var%)</t>
  </si>
  <si>
    <t>Ventas por Almacén (Unidades) (Monitoreado) (Vs Total de Productos)</t>
  </si>
  <si>
    <t>Ventas por Almacén (Unidades) (No monitoreado) (Anterior)</t>
  </si>
  <si>
    <t>Ventas por Almacén (Unidades) (No monitoreado) (Cambio Absoluto)</t>
  </si>
  <si>
    <t>Ventas por Almacén (Unidades) (No monitoreado) (Contribución)</t>
  </si>
  <si>
    <t>Ventas por Almacén (Unidades) (No monitoreado) (Reciente)</t>
  </si>
  <si>
    <t>Ventas por Almacén (Unidades) (No monitoreado) (Var%)</t>
  </si>
  <si>
    <t>Ventas por Almacén (Unidades) (No monitoreado) (Vs Total de Productos)</t>
  </si>
  <si>
    <t>Ventas VSA ($) (Anterior)</t>
  </si>
  <si>
    <t>Ventas VSA ($) (Cambio Absoluto)</t>
  </si>
  <si>
    <t>Ventas VSA ($) (Contribución)</t>
  </si>
  <si>
    <t>Ventas VSA ($) (Reciente)</t>
  </si>
  <si>
    <t>Ventas VSA ($) (Var%)</t>
  </si>
  <si>
    <t>Ventas VSA ($) (Vs Total de Productos)</t>
  </si>
  <si>
    <t>Ventas VSA (unidades) (Anterior)</t>
  </si>
  <si>
    <t>Ventas VSA (unidades) (Cambio Absoluto)</t>
  </si>
  <si>
    <t>Ventas VSA (unidades) (Contribución)</t>
  </si>
  <si>
    <t>Ventas VSA (unidades) (Reciente)</t>
  </si>
  <si>
    <t>Ventas VSA (unidades) (Var%)</t>
  </si>
  <si>
    <t>Ventas VSA (unidades) (Vs Total de Productos)</t>
  </si>
  <si>
    <t>Visitas (EPOS) (Anterior)</t>
  </si>
  <si>
    <t>Visitas (EPOS) (Cambio Absoluto)</t>
  </si>
  <si>
    <t>Visitas (EPOS) (Contribución)</t>
  </si>
  <si>
    <t>Visitas (EPOS) (Reciente)</t>
  </si>
  <si>
    <t>Visitas (EPOS) (Var%)</t>
  </si>
  <si>
    <t>Visitas (EPOS) (Vs Total de Productos)</t>
  </si>
  <si>
    <t>Visitas (Monitoreado) (Anterior)</t>
  </si>
  <si>
    <t>Visitas (Monitoreado) (Cambio Absoluto)</t>
  </si>
  <si>
    <t>Visitas (Monitoreado) (Contribución)</t>
  </si>
  <si>
    <t>Visitas (Monitoreado) (Reciente)</t>
  </si>
  <si>
    <t>Visitas (Monitoreado) (Var%)</t>
  </si>
  <si>
    <t>Visitas (Monitoreado) (Vs Total de Productos)</t>
  </si>
  <si>
    <t>Visitas (No monitoreado) (Anterior)</t>
  </si>
  <si>
    <t>Visitas (No monitoreado) (Cambio Absoluto)</t>
  </si>
  <si>
    <t>Visitas (No monitoreado) (Contribución)</t>
  </si>
  <si>
    <t>Visitas (No monitoreado) (Reciente)</t>
  </si>
  <si>
    <t>Visitas (No monitoreado) (Var%)</t>
  </si>
  <si>
    <t>Visitas (No monitoreado) (Vs Total de Productos)</t>
  </si>
  <si>
    <t>Visitas Supermercado (EPOS) (Anterior)</t>
  </si>
  <si>
    <t>Visitas Supermercado (EPOS) (Cambio Absoluto)</t>
  </si>
  <si>
    <t>Visitas Supermercado (EPOS) (Contribución)</t>
  </si>
  <si>
    <t>Visitas Supermercado (EPOS) (Reciente)</t>
  </si>
  <si>
    <t>Visitas Supermercado (EPOS) (Var%)</t>
  </si>
  <si>
    <t>Visitas Supermercado (EPOS) (Vs Total de Productos)</t>
  </si>
  <si>
    <t>Visitas Supermercado  (Monitoreado) (Anterior)</t>
  </si>
  <si>
    <t>Visitas Supermercado  (Monitoreado) (Cambio Absoluto)</t>
  </si>
  <si>
    <t>Visitas Supermercado  (Monitoreado) (Contribución)</t>
  </si>
  <si>
    <t>Visitas Supermercado  (Monitoreado) (Reciente)</t>
  </si>
  <si>
    <t>Visitas Supermercado  (Monitoreado) (Var%)</t>
  </si>
  <si>
    <t>Visitas Supermercado  (Monitoreado) (Vs Total de Productos)</t>
  </si>
  <si>
    <t>Visitas Supermercado  (No monitoreado) (Anterior)</t>
  </si>
  <si>
    <t>Visitas Supermercado  (No monitoreado) (Cambio Absoluto)</t>
  </si>
  <si>
    <t>Visitas Supermercado  (No monitoreado) (Contribución)</t>
  </si>
  <si>
    <t>Visitas Supermercado  (No monitoreado) (Reciente)</t>
  </si>
  <si>
    <t>Visitas Supermercado  (No monitoreado) (Var%)</t>
  </si>
  <si>
    <t>Visitas Supermercado  (No monitoreado) (Vs Total de Productos)</t>
  </si>
  <si>
    <t>Grupos de Productos</t>
  </si>
  <si>
    <t>Total Axion</t>
  </si>
  <si>
    <t>Total Binner</t>
  </si>
  <si>
    <t>Total Blancox Loza Crem</t>
  </si>
  <si>
    <t>Total Cascade</t>
  </si>
  <si>
    <t>Total Dersa</t>
  </si>
  <si>
    <t>Total Eterna</t>
  </si>
  <si>
    <t>Total Finish</t>
  </si>
  <si>
    <t>Total Lava Mil</t>
  </si>
  <si>
    <t>Total Marca Propia</t>
  </si>
  <si>
    <t>Total Otras Marcas</t>
  </si>
  <si>
    <t>Total Supremo</t>
  </si>
  <si>
    <t>Total TLD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</si>
</sst>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$&quot;\ #,###.0,,\ &quot;M&quot;"/>
    <numFmt numFmtId="165" formatCode="0.0%"/>
    <numFmt numFmtId="166" formatCode="\+0.0%;\-0.0%;0"/>
    <numFmt numFmtId="167" formatCode="\+&quot;$&quot;#,##0.0,,\ &quot;M&quot;;\-&quot;$&quot;#,##0.0,,\ &quot;M&quot;;0"/>
    <numFmt numFmtId="168" formatCode="&quot;$&quot;##,##0.0,,\ &quot;M&quot;"/>
    <numFmt numFmtId="169" formatCode="\+0.0\ &quot;pts&quot;;\-0.0\ &quot;pts&quot;;0"/>
    <numFmt numFmtId="170" formatCode="&quot;$&quot;\ #,##0"/>
    <numFmt numFmtId="171" formatCode="#,##0_ ;\-#,##0\ "/>
    <numFmt numFmtId="172" formatCode="#,##0.00%"/>
    <numFmt numFmtId="173" formatCode="#,##0.00\p\t\s"/>
    <numFmt numFmtId="174" formatCode="&quot;$&quot;#,##0"/>
    <numFmt numFmtId="175" formatCode="#,##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B77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4" fontId="0" fillId="0" borderId="0" xfId="0" applyNumberFormat="1"/>
    <xf numFmtId="9" fontId="0" fillId="0" borderId="0" xfId="1" applyFont="1" applyBorder="1"/>
    <xf numFmtId="166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0" borderId="1" xfId="4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172" fontId="7" fillId="2" borderId="0" xfId="0" applyNumberFormat="1" applyFont="1" applyFill="1" applyAlignment="1">
      <alignment horizontal="center"/>
    </xf>
    <xf numFmtId="173" fontId="7" fillId="2" borderId="0" xfId="0" applyNumberFormat="1" applyFont="1" applyFill="1" applyAlignment="1">
      <alignment horizontal="center"/>
    </xf>
    <xf numFmtId="174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175" fontId="7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3" fontId="0" fillId="0" borderId="0" xfId="0" applyNumberFormat="1"/>
    <xf numFmtId="175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5">
    <cellStyle name="Comma" xfId="4" builtinId="3"/>
    <cellStyle name="Normal" xfId="0" builtinId="0"/>
    <cellStyle name="Normal 2" xfId="3" xr:uid="{5D38BB78-3E13-4E76-A511-F864B6488DEB}"/>
    <cellStyle name="Normal 5" xfId="2" xr:uid="{19564035-7C49-4E5E-AE57-D67E3665D8C9}"/>
    <cellStyle name="Percent" xfId="1" builtinId="5"/>
  </cellStyles>
  <dxfs count="0"/>
  <tableStyles count="0" defaultTableStyle="TableStyleMedium2" defaultPivotStyle="PivotStyleLight16"/>
  <colors>
    <mruColors>
      <color rgb="FFB7D376"/>
      <color rgb="FFE97E57"/>
      <color rgb="FFC58CCA"/>
      <color rgb="FF677CD2"/>
      <color rgb="FF76C9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Motivadores del Cambio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'02_Marca_OUTPUT'!$C$38</c:f>
              <c:strCache>
                <c:ptCount val="1"/>
                <c:pt idx="0">
                  <c:v>Penetración</c:v>
                </c:pt>
              </c:strCache>
            </c:strRef>
          </c:tx>
          <c:spPr>
            <a:solidFill>
              <a:srgbClr val="C58CCA"/>
            </a:solidFill>
            <a:ln>
              <a:noFill/>
            </a:ln>
            <a:effectLst/>
          </c:spPr>
          <c:invertIfNegative val="0"/>
          <c:cat>
            <c:strRef>
              <c:f>'02_Marca_OUTPUT'!$B$39:$B$48</c:f>
              <c:strCache>
                <c:ptCount val="10"/>
                <c:pt idx="0">
                  <c:v>Total Axion</c:v>
                </c:pt>
                <c:pt idx="1">
                  <c:v>Total Blancox Loza Crem</c:v>
                </c:pt>
                <c:pt idx="2">
                  <c:v>Total Marca Propia</c:v>
                </c:pt>
                <c:pt idx="3">
                  <c:v>Total Dersa</c:v>
                </c:pt>
                <c:pt idx="4">
                  <c:v>Total TLD</c:v>
                </c:pt>
                <c:pt idx="5">
                  <c:v>Total Cascade</c:v>
                </c:pt>
                <c:pt idx="6">
                  <c:v>Total Lava Mil</c:v>
                </c:pt>
                <c:pt idx="7">
                  <c:v>Total Otras Marcas</c:v>
                </c:pt>
                <c:pt idx="8">
                  <c:v>Total Binner</c:v>
                </c:pt>
                <c:pt idx="9">
                  <c:v>Total Finish</c:v>
                </c:pt>
              </c:strCache>
            </c:strRef>
          </c:cat>
          <c:val>
            <c:numRef>
              <c:f>'02_Marca_OUTPUT'!$C$39:$C$48</c:f>
              <c:numCache>
                <c:formatCode>\+"$"#,##0.0,,\ "M";\-"$"#,##0.0,,\ "M";0</c:formatCode>
                <c:ptCount val="10"/>
                <c:pt idx="0">
                  <c:v>367720745.12919003</c:v>
                </c:pt>
                <c:pt idx="1">
                  <c:v>-193427708.90377</c:v>
                </c:pt>
                <c:pt idx="2">
                  <c:v>-120586231.02325</c:v>
                </c:pt>
                <c:pt idx="3">
                  <c:v>7022296.1289799996</c:v>
                </c:pt>
                <c:pt idx="4">
                  <c:v>-44270900.527510002</c:v>
                </c:pt>
                <c:pt idx="5">
                  <c:v>-24620250.670820002</c:v>
                </c:pt>
                <c:pt idx="6">
                  <c:v>-13992080.61712</c:v>
                </c:pt>
                <c:pt idx="7">
                  <c:v>-15611237.07244</c:v>
                </c:pt>
                <c:pt idx="8">
                  <c:v>8305092.6999000004</c:v>
                </c:pt>
                <c:pt idx="9">
                  <c:v>2296367.0714199999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E-46A2-BC97-E2B89706F989}"/>
            </c:ext>
          </c:extLst>
        </c:ser>
        <c:ser>
          <c:idx val="1"/>
          <c:order val="1"/>
          <c:tx>
            <c:strRef>
              <c:f>'02_Marca_OUTPUT'!$D$38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76C9D8"/>
            </a:solidFill>
            <a:ln>
              <a:noFill/>
            </a:ln>
            <a:effectLst/>
          </c:spPr>
          <c:invertIfNegative val="0"/>
          <c:cat>
            <c:strRef>
              <c:f>'02_Marca_OUTPUT'!$B$39:$B$48</c:f>
              <c:strCache>
                <c:ptCount val="10"/>
                <c:pt idx="0">
                  <c:v>Total Axion</c:v>
                </c:pt>
                <c:pt idx="1">
                  <c:v>Total Blancox Loza Crem</c:v>
                </c:pt>
                <c:pt idx="2">
                  <c:v>Total Marca Propia</c:v>
                </c:pt>
                <c:pt idx="3">
                  <c:v>Total Dersa</c:v>
                </c:pt>
                <c:pt idx="4">
                  <c:v>Total TLD</c:v>
                </c:pt>
                <c:pt idx="5">
                  <c:v>Total Cascade</c:v>
                </c:pt>
                <c:pt idx="6">
                  <c:v>Total Lava Mil</c:v>
                </c:pt>
                <c:pt idx="7">
                  <c:v>Total Otras Marcas</c:v>
                </c:pt>
                <c:pt idx="8">
                  <c:v>Total Binner</c:v>
                </c:pt>
                <c:pt idx="9">
                  <c:v>Total Finish</c:v>
                </c:pt>
              </c:strCache>
            </c:strRef>
          </c:cat>
          <c:val>
            <c:numRef>
              <c:f>'02_Marca_OUTPUT'!$D$39:$D$48</c:f>
              <c:numCache>
                <c:formatCode>\+"$"#,##0.0,,\ "M";\-"$"#,##0.0,,\ "M";0</c:formatCode>
                <c:ptCount val="10"/>
                <c:pt idx="0">
                  <c:v>6163086.6787</c:v>
                </c:pt>
                <c:pt idx="1">
                  <c:v>-5654946.1460199999</c:v>
                </c:pt>
                <c:pt idx="2">
                  <c:v>-3903294.8337900001</c:v>
                </c:pt>
                <c:pt idx="3">
                  <c:v>-1205297.2441100001</c:v>
                </c:pt>
                <c:pt idx="4">
                  <c:v>380765.67456000001</c:v>
                </c:pt>
                <c:pt idx="5">
                  <c:v>-1005376.59321</c:v>
                </c:pt>
                <c:pt idx="6">
                  <c:v>92509.843280000001</c:v>
                </c:pt>
                <c:pt idx="7">
                  <c:v>-622214.47328999999</c:v>
                </c:pt>
                <c:pt idx="8">
                  <c:v>-274900.92927000002</c:v>
                </c:pt>
                <c:pt idx="9">
                  <c:v>-420272.89782999997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E-46A2-BC97-E2B89706F989}"/>
            </c:ext>
          </c:extLst>
        </c:ser>
        <c:ser>
          <c:idx val="2"/>
          <c:order val="2"/>
          <c:tx>
            <c:strRef>
              <c:f>'02_Marca_OUTPUT'!$E$38</c:f>
              <c:strCache>
                <c:ptCount val="1"/>
                <c:pt idx="0">
                  <c:v>Precio Promedio</c:v>
                </c:pt>
              </c:strCache>
            </c:strRef>
          </c:tx>
          <c:spPr>
            <a:solidFill>
              <a:srgbClr val="B7D376"/>
            </a:solidFill>
            <a:ln>
              <a:noFill/>
            </a:ln>
            <a:effectLst/>
          </c:spPr>
          <c:invertIfNegative val="0"/>
          <c:cat>
            <c:strRef>
              <c:f>'02_Marca_OUTPUT'!$B$39:$B$48</c:f>
              <c:strCache>
                <c:ptCount val="10"/>
                <c:pt idx="0">
                  <c:v>Total Axion</c:v>
                </c:pt>
                <c:pt idx="1">
                  <c:v>Total Blancox Loza Crem</c:v>
                </c:pt>
                <c:pt idx="2">
                  <c:v>Total Marca Propia</c:v>
                </c:pt>
                <c:pt idx="3">
                  <c:v>Total Dersa</c:v>
                </c:pt>
                <c:pt idx="4">
                  <c:v>Total TLD</c:v>
                </c:pt>
                <c:pt idx="5">
                  <c:v>Total Cascade</c:v>
                </c:pt>
                <c:pt idx="6">
                  <c:v>Total Lava Mil</c:v>
                </c:pt>
                <c:pt idx="7">
                  <c:v>Total Otras Marcas</c:v>
                </c:pt>
                <c:pt idx="8">
                  <c:v>Total Binner</c:v>
                </c:pt>
                <c:pt idx="9">
                  <c:v>Total Finish</c:v>
                </c:pt>
              </c:strCache>
            </c:strRef>
          </c:cat>
          <c:val>
            <c:numRef>
              <c:f>'02_Marca_OUTPUT'!$E$39:$E$48</c:f>
              <c:numCache>
                <c:formatCode>\+"$"#,##0.0,,\ "M";\-"$"#,##0.0,,\ "M";0</c:formatCode>
                <c:ptCount val="10"/>
                <c:pt idx="0">
                  <c:v>-41859332.878559999</c:v>
                </c:pt>
                <c:pt idx="1">
                  <c:v>100867783.68002</c:v>
                </c:pt>
                <c:pt idx="2">
                  <c:v>53129501.50096</c:v>
                </c:pt>
                <c:pt idx="3">
                  <c:v>61695563.70623</c:v>
                </c:pt>
                <c:pt idx="4">
                  <c:v>56865805.788039997</c:v>
                </c:pt>
                <c:pt idx="5">
                  <c:v>30335798.287670001</c:v>
                </c:pt>
                <c:pt idx="6">
                  <c:v>12075792.11445</c:v>
                </c:pt>
                <c:pt idx="7">
                  <c:v>6496918.5206800001</c:v>
                </c:pt>
                <c:pt idx="8">
                  <c:v>-546172.31703999999</c:v>
                </c:pt>
                <c:pt idx="9">
                  <c:v>-6614753.8590599997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E-46A2-BC97-E2B89706F989}"/>
            </c:ext>
          </c:extLst>
        </c:ser>
        <c:ser>
          <c:idx val="3"/>
          <c:order val="3"/>
          <c:tx>
            <c:strRef>
              <c:f>'02_Marca_OUTPUT'!$F$38</c:f>
              <c:strCache>
                <c:ptCount val="1"/>
                <c:pt idx="0">
                  <c:v>Clientes Supermercado</c:v>
                </c:pt>
              </c:strCache>
            </c:strRef>
          </c:tx>
          <c:spPr>
            <a:solidFill>
              <a:srgbClr val="E97E57"/>
            </a:solidFill>
            <a:ln>
              <a:noFill/>
            </a:ln>
            <a:effectLst/>
          </c:spPr>
          <c:invertIfNegative val="0"/>
          <c:cat>
            <c:strRef>
              <c:f>'02_Marca_OUTPUT'!$B$39:$B$48</c:f>
              <c:strCache>
                <c:ptCount val="10"/>
                <c:pt idx="0">
                  <c:v>Total Axion</c:v>
                </c:pt>
                <c:pt idx="1">
                  <c:v>Total Blancox Loza Crem</c:v>
                </c:pt>
                <c:pt idx="2">
                  <c:v>Total Marca Propia</c:v>
                </c:pt>
                <c:pt idx="3">
                  <c:v>Total Dersa</c:v>
                </c:pt>
                <c:pt idx="4">
                  <c:v>Total TLD</c:v>
                </c:pt>
                <c:pt idx="5">
                  <c:v>Total Cascade</c:v>
                </c:pt>
                <c:pt idx="6">
                  <c:v>Total Lava Mil</c:v>
                </c:pt>
                <c:pt idx="7">
                  <c:v>Total Otras Marcas</c:v>
                </c:pt>
                <c:pt idx="8">
                  <c:v>Total Binner</c:v>
                </c:pt>
                <c:pt idx="9">
                  <c:v>Total Finish</c:v>
                </c:pt>
              </c:strCache>
            </c:strRef>
          </c:cat>
          <c:val>
            <c:numRef>
              <c:f>'02_Marca_OUTPUT'!$F$39:$F$48</c:f>
              <c:numCache>
                <c:formatCode>\+"$"#,##0.0,,\ "M";\-"$"#,##0.0,,\ "M";0</c:formatCode>
                <c:ptCount val="10"/>
                <c:pt idx="0">
                  <c:v>-76014613.606089994</c:v>
                </c:pt>
                <c:pt idx="1">
                  <c:v>-31962365.964090001</c:v>
                </c:pt>
                <c:pt idx="2">
                  <c:v>-21888608.566610001</c:v>
                </c:pt>
                <c:pt idx="3">
                  <c:v>-10036737.64115</c:v>
                </c:pt>
                <c:pt idx="4">
                  <c:v>-7354045.8212900003</c:v>
                </c:pt>
                <c:pt idx="5">
                  <c:v>-3600881.0743300002</c:v>
                </c:pt>
                <c:pt idx="6">
                  <c:v>-2791828.48233</c:v>
                </c:pt>
                <c:pt idx="7">
                  <c:v>-2538976.0651400001</c:v>
                </c:pt>
                <c:pt idx="8">
                  <c:v>-1809314.52306</c:v>
                </c:pt>
                <c:pt idx="9">
                  <c:v>-1927245.15518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3E-46A2-BC97-E2B89706F989}"/>
            </c:ext>
          </c:extLst>
        </c:ser>
        <c:ser>
          <c:idx val="4"/>
          <c:order val="4"/>
          <c:tx>
            <c:strRef>
              <c:f>'02_Marca_OUTPUT'!$G$38</c:f>
              <c:strCache>
                <c:ptCount val="1"/>
                <c:pt idx="0">
                  <c:v>Unidades x Visita</c:v>
                </c:pt>
              </c:strCache>
            </c:strRef>
          </c:tx>
          <c:spPr>
            <a:solidFill>
              <a:srgbClr val="677CD2"/>
            </a:solidFill>
            <a:ln>
              <a:noFill/>
            </a:ln>
            <a:effectLst/>
          </c:spPr>
          <c:invertIfNegative val="0"/>
          <c:cat>
            <c:strRef>
              <c:f>'02_Marca_OUTPUT'!$B$39:$B$48</c:f>
              <c:strCache>
                <c:ptCount val="10"/>
                <c:pt idx="0">
                  <c:v>Total Axion</c:v>
                </c:pt>
                <c:pt idx="1">
                  <c:v>Total Blancox Loza Crem</c:v>
                </c:pt>
                <c:pt idx="2">
                  <c:v>Total Marca Propia</c:v>
                </c:pt>
                <c:pt idx="3">
                  <c:v>Total Dersa</c:v>
                </c:pt>
                <c:pt idx="4">
                  <c:v>Total TLD</c:v>
                </c:pt>
                <c:pt idx="5">
                  <c:v>Total Cascade</c:v>
                </c:pt>
                <c:pt idx="6">
                  <c:v>Total Lava Mil</c:v>
                </c:pt>
                <c:pt idx="7">
                  <c:v>Total Otras Marcas</c:v>
                </c:pt>
                <c:pt idx="8">
                  <c:v>Total Binner</c:v>
                </c:pt>
                <c:pt idx="9">
                  <c:v>Total Finish</c:v>
                </c:pt>
              </c:strCache>
            </c:strRef>
          </c:cat>
          <c:val>
            <c:numRef>
              <c:f>'02_Marca_OUTPUT'!$G$39:$G$48</c:f>
              <c:numCache>
                <c:formatCode>\+"$"#,##0.0,,\ "M";\-"$"#,##0.0,,\ "M";0</c:formatCode>
                <c:ptCount val="10"/>
                <c:pt idx="0">
                  <c:v>11385838.606760001</c:v>
                </c:pt>
                <c:pt idx="1">
                  <c:v>-30914438.646129999</c:v>
                </c:pt>
                <c:pt idx="2">
                  <c:v>3883410.7626899998</c:v>
                </c:pt>
                <c:pt idx="3">
                  <c:v>-3262611.89995</c:v>
                </c:pt>
                <c:pt idx="4">
                  <c:v>1065629.8762000001</c:v>
                </c:pt>
                <c:pt idx="5">
                  <c:v>-9876692.9493099991</c:v>
                </c:pt>
                <c:pt idx="6">
                  <c:v>-110771.85829</c:v>
                </c:pt>
                <c:pt idx="7">
                  <c:v>555605.07019</c:v>
                </c:pt>
                <c:pt idx="8">
                  <c:v>2151591.0794700002</c:v>
                </c:pt>
                <c:pt idx="9">
                  <c:v>3763836.8406600002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3E-46A2-BC97-E2B89706F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6670192"/>
        <c:axId val="2063329232"/>
      </c:barChart>
      <c:catAx>
        <c:axId val="2006670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3329232"/>
        <c:crosses val="autoZero"/>
        <c:auto val="1"/>
        <c:lblAlgn val="ctr"/>
        <c:lblOffset val="100"/>
        <c:noMultiLvlLbl val="0"/>
      </c:catAx>
      <c:valAx>
        <c:axId val="2063329232"/>
        <c:scaling>
          <c:orientation val="minMax"/>
        </c:scaling>
        <c:delete val="1"/>
        <c:axPos val="t"/>
        <c:numFmt formatCode="\+&quot;$&quot;#,##0.0,,\ &quot;M&quot;;\-&quot;$&quot;#,##0.0,,\ &quot;M&quot;;0" sourceLinked="1"/>
        <c:majorTickMark val="none"/>
        <c:minorTickMark val="none"/>
        <c:tickLblPos val="nextTo"/>
        <c:crossAx val="200667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Variación</a:t>
            </a:r>
            <a:r>
              <a:rPr lang="es-CO" baseline="0"/>
              <a:t> Share Ventas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'02_Marca_OUTPUT'!$P$21</c:f>
              <c:strCache>
                <c:ptCount val="1"/>
                <c:pt idx="0">
                  <c:v>Total Axion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'02_Marca_OUTPUT'!$S$21:$T$21</c:f>
              <c:numCache>
                <c:formatCode>0.0%</c:formatCode>
                <c:ptCount val="2"/>
                <c:pt idx="0">
                  <c:v>0.42887573004210794</c:v>
                </c:pt>
                <c:pt idx="1">
                  <c:v>0.4956504809502606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8-4C5B-A47F-6BA980E9BA83}"/>
            </c:ext>
          </c:extLst>
        </c:ser>
        <c:ser>
          <c:idx val="1"/>
          <c:order val="1"/>
          <c:tx>
            <c:strRef>
              <c:f>'02_Marca_OUTPUT'!$P$22</c:f>
              <c:strCache>
                <c:ptCount val="1"/>
                <c:pt idx="0">
                  <c:v>Total Blancox Loza Crem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'02_Marca_OUTPUT'!$S$22:$T$22</c:f>
              <c:numCache>
                <c:formatCode>0.0%</c:formatCode>
                <c:ptCount val="2"/>
                <c:pt idx="0">
                  <c:v>0.22042774794638631</c:v>
                </c:pt>
                <c:pt idx="1">
                  <c:v>0.1755990444118688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8-4C5B-A47F-6BA980E9BA83}"/>
            </c:ext>
          </c:extLst>
        </c:ser>
        <c:ser>
          <c:idx val="2"/>
          <c:order val="2"/>
          <c:tx>
            <c:strRef>
              <c:f>'02_Marca_OUTPUT'!$P$23</c:f>
              <c:strCache>
                <c:ptCount val="1"/>
                <c:pt idx="0">
                  <c:v>Total Marca Propia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'02_Marca_OUTPUT'!$S$23:$T$23</c:f>
              <c:numCache>
                <c:formatCode>0.0%</c:formatCode>
                <c:ptCount val="2"/>
                <c:pt idx="0">
                  <c:v>0.16152551345606914</c:v>
                </c:pt>
                <c:pt idx="1">
                  <c:v>0.13207918069090932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8-4C5B-A47F-6BA980E9BA83}"/>
            </c:ext>
          </c:extLst>
        </c:ser>
        <c:ser>
          <c:idx val="3"/>
          <c:order val="3"/>
          <c:tx>
            <c:strRef>
              <c:f>'02_Marca_OUTPUT'!$P$24</c:f>
              <c:strCache>
                <c:ptCount val="1"/>
                <c:pt idx="0">
                  <c:v>Total Dersa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'02_Marca_OUTPUT'!$S$24:$T$24</c:f>
              <c:numCache>
                <c:formatCode>0.0%</c:formatCode>
                <c:ptCount val="2"/>
                <c:pt idx="0">
                  <c:v>5.3618580793861205E-2</c:v>
                </c:pt>
                <c:pt idx="1">
                  <c:v>6.8727782001308579E-2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D8-4C5B-A47F-6BA980E9BA83}"/>
            </c:ext>
          </c:extLst>
        </c:ser>
        <c:ser>
          <c:idx val="4"/>
          <c:order val="4"/>
          <c:tx>
            <c:strRef>
              <c:f>'02_Marca_OUTPUT'!$P$25</c:f>
              <c:strCache>
                <c:ptCount val="1"/>
                <c:pt idx="0">
                  <c:v>Total TLD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'02_Marca_OUTPUT'!$S$25:$T$25</c:f>
              <c:numCache>
                <c:formatCode>0.0%</c:formatCode>
                <c:ptCount val="2"/>
                <c:pt idx="0">
                  <c:v>4.9197977471676986E-2</c:v>
                </c:pt>
                <c:pt idx="1">
                  <c:v>5.0329636958917817E-2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D8-4C5B-A47F-6BA980E9BA83}"/>
            </c:ext>
          </c:extLst>
        </c:ser>
        <c:ser>
          <c:idx val="5"/>
          <c:order val="5"/>
          <c:tx>
            <c:strRef>
              <c:f>'02_Marca_OUTPUT'!$P$26</c:f>
              <c:strCache>
                <c:ptCount val="1"/>
                <c:pt idx="0">
                  <c:v>Total Cascade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'02_Marca_OUTPUT'!$S$26:$T$26</c:f>
              <c:numCache>
                <c:formatCode>0.0%</c:formatCode>
                <c:ptCount val="2"/>
                <c:pt idx="0">
                  <c:v>2.4124157354186788E-2</c:v>
                </c:pt>
                <c:pt idx="1">
                  <c:v>2.1729229313621777E-2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D8-4C5B-A47F-6BA980E9BA83}"/>
            </c:ext>
          </c:extLst>
        </c:ser>
        <c:ser>
          <c:idx val="6"/>
          <c:order val="6"/>
          <c:tx>
            <c:strRef>
              <c:f>'02_Marca_OUTPUT'!$P$27</c:f>
              <c:strCache>
                <c:ptCount val="1"/>
                <c:pt idx="0">
                  <c:v>Total Lava Mil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'02_Marca_OUTPUT'!$S$27:$T$27</c:f>
              <c:numCache>
                <c:formatCode>0.0%</c:formatCode>
                <c:ptCount val="2"/>
                <c:pt idx="0">
                  <c:v>1.8575223299400218E-2</c:v>
                </c:pt>
                <c:pt idx="1">
                  <c:v>1.6041414816665996E-2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D8-4C5B-A47F-6BA980E9BA83}"/>
            </c:ext>
          </c:extLst>
        </c:ser>
        <c:ser>
          <c:idx val="7"/>
          <c:order val="7"/>
          <c:tx>
            <c:strRef>
              <c:f>'02_Marca_OUTPUT'!$P$28</c:f>
              <c:strCache>
                <c:ptCount val="1"/>
                <c:pt idx="0">
                  <c:v>Total Otras Marcas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'02_Marca_OUTPUT'!$S$28:$T$28</c:f>
              <c:numCache>
                <c:formatCode>0.0%</c:formatCode>
                <c:ptCount val="2"/>
                <c:pt idx="0">
                  <c:v>1.912535661924341E-2</c:v>
                </c:pt>
                <c:pt idx="1">
                  <c:v>1.3988215146929803E-2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D8-4C5B-A47F-6BA980E9BA83}"/>
            </c:ext>
          </c:extLst>
        </c:ser>
        <c:ser>
          <c:idx val="8"/>
          <c:order val="8"/>
          <c:tx>
            <c:strRef>
              <c:f>'02_Marca_OUTPUT'!$P$29</c:f>
              <c:strCache>
                <c:ptCount val="1"/>
                <c:pt idx="0">
                  <c:v>Total Binner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'02_Marca_OUTPUT'!$S$29:$T$29</c:f>
              <c:numCache>
                <c:formatCode>0.0%</c:formatCode>
                <c:ptCount val="2"/>
                <c:pt idx="0">
                  <c:v>1.0384112042901336E-2</c:v>
                </c:pt>
                <c:pt idx="1">
                  <c:v>1.3111308513401634E-2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D8-4C5B-A47F-6BA980E9BA83}"/>
            </c:ext>
          </c:extLst>
        </c:ser>
        <c:ser>
          <c:idx val="9"/>
          <c:order val="9"/>
          <c:tx>
            <c:strRef>
              <c:f>'02_Marca_OUTPUT'!$P$30</c:f>
              <c:strCache>
                <c:ptCount val="1"/>
                <c:pt idx="0">
                  <c:v>Total Finish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'02_Marca_OUTPUT'!$S$20:$T$20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'02_Marca_OUTPUT'!$S$30:$T$30</c:f>
              <c:numCache>
                <c:formatCode>0.0%</c:formatCode>
                <c:ptCount val="2"/>
                <c:pt idx="0">
                  <c:v>1.4145600974166488E-2</c:v>
                </c:pt>
                <c:pt idx="1">
                  <c:v>1.2743707196115594E-2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D8-4C5B-A47F-6BA980E9B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1128864"/>
        <c:axId val="586658064"/>
      </c:barChart>
      <c:catAx>
        <c:axId val="20111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6658064"/>
        <c:crosses val="autoZero"/>
        <c:auto val="1"/>
        <c:lblAlgn val="ctr"/>
        <c:lblOffset val="100"/>
        <c:noMultiLvlLbl val="0"/>
      </c:catAx>
      <c:valAx>
        <c:axId val="586658064"/>
        <c:scaling>
          <c:orientation val="minMax"/>
          <c:max val="1"/>
        </c:scaling>
        <c:delete val="1"/>
        <c:axPos val="l"/>
        <c:numFmt formatCode="0.0%" sourceLinked="1"/>
        <c:majorTickMark val="none"/>
        <c:minorTickMark val="none"/>
        <c:tickLblPos val="nextTo"/>
        <c:crossAx val="201112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Variación</a:t>
            </a:r>
            <a:r>
              <a:rPr lang="es-CO" baseline="0"/>
              <a:t> Share Unidades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'02_Marca_OUTPUT'!$P$21</c:f>
              <c:strCache>
                <c:ptCount val="1"/>
                <c:pt idx="0">
                  <c:v>Total Axion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'02_Marca_OUTPUT'!$AA$21:$AB$21</c:f>
              <c:numCache>
                <c:formatCode>0.0%</c:formatCode>
                <c:ptCount val="2"/>
                <c:pt idx="0">
                  <c:v>0.29786087118896665</c:v>
                </c:pt>
                <c:pt idx="1">
                  <c:v>0.40579247552720982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8-4C5B-A47F-6BA980E9BA83}"/>
            </c:ext>
          </c:extLst>
        </c:ser>
        <c:ser>
          <c:idx val="1"/>
          <c:order val="1"/>
          <c:tx>
            <c:strRef>
              <c:f>'02_Marca_OUTPUT'!$P$22</c:f>
              <c:strCache>
                <c:ptCount val="1"/>
                <c:pt idx="0">
                  <c:v>Total Blancox Loza Crem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'02_Marca_OUTPUT'!$AA$22:$AB$22</c:f>
              <c:numCache>
                <c:formatCode>0.0%</c:formatCode>
                <c:ptCount val="2"/>
                <c:pt idx="0">
                  <c:v>0.16762645311198057</c:v>
                </c:pt>
                <c:pt idx="1">
                  <c:v>0.13389563729000881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8-4C5B-A47F-6BA980E9BA83}"/>
            </c:ext>
          </c:extLst>
        </c:ser>
        <c:ser>
          <c:idx val="2"/>
          <c:order val="2"/>
          <c:tx>
            <c:strRef>
              <c:f>'02_Marca_OUTPUT'!$P$23</c:f>
              <c:strCache>
                <c:ptCount val="1"/>
                <c:pt idx="0">
                  <c:v>Total Marca Propia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'02_Marca_OUTPUT'!$AA$23:$AB$23</c:f>
              <c:numCache>
                <c:formatCode>0.0%</c:formatCode>
                <c:ptCount val="2"/>
                <c:pt idx="0">
                  <c:v>0.41638231268309783</c:v>
                </c:pt>
                <c:pt idx="1">
                  <c:v>0.35219073116138777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8-4C5B-A47F-6BA980E9BA83}"/>
            </c:ext>
          </c:extLst>
        </c:ser>
        <c:ser>
          <c:idx val="3"/>
          <c:order val="3"/>
          <c:tx>
            <c:strRef>
              <c:f>'02_Marca_OUTPUT'!$P$24</c:f>
              <c:strCache>
                <c:ptCount val="1"/>
                <c:pt idx="0">
                  <c:v>Total Dersa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'02_Marca_OUTPUT'!$AA$24:$AB$24</c:f>
              <c:numCache>
                <c:formatCode>0.0%</c:formatCode>
                <c:ptCount val="2"/>
                <c:pt idx="0">
                  <c:v>3.2027918070820435E-2</c:v>
                </c:pt>
                <c:pt idx="1">
                  <c:v>3.5611475628951207E-2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D8-4C5B-A47F-6BA980E9BA83}"/>
            </c:ext>
          </c:extLst>
        </c:ser>
        <c:ser>
          <c:idx val="4"/>
          <c:order val="4"/>
          <c:tx>
            <c:strRef>
              <c:f>'02_Marca_OUTPUT'!$P$25</c:f>
              <c:strCache>
                <c:ptCount val="1"/>
                <c:pt idx="0">
                  <c:v>Total TLD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'02_Marca_OUTPUT'!$AA$25:$AB$25</c:f>
              <c:numCache>
                <c:formatCode>0.0%</c:formatCode>
                <c:ptCount val="2"/>
                <c:pt idx="0">
                  <c:v>4.5939389882341752E-2</c:v>
                </c:pt>
                <c:pt idx="1">
                  <c:v>3.8051273662350303E-2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D8-4C5B-A47F-6BA980E9BA83}"/>
            </c:ext>
          </c:extLst>
        </c:ser>
        <c:ser>
          <c:idx val="5"/>
          <c:order val="5"/>
          <c:tx>
            <c:strRef>
              <c:f>'02_Marca_OUTPUT'!$P$26</c:f>
              <c:strCache>
                <c:ptCount val="1"/>
                <c:pt idx="0">
                  <c:v>Total Cascade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'02_Marca_OUTPUT'!$AA$26:$AB$26</c:f>
              <c:numCache>
                <c:formatCode>0.0%</c:formatCode>
                <c:ptCount val="2"/>
                <c:pt idx="0">
                  <c:v>3.7716172152041445E-3</c:v>
                </c:pt>
                <c:pt idx="1">
                  <c:v>2.7011337180886186E-3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D8-4C5B-A47F-6BA980E9BA83}"/>
            </c:ext>
          </c:extLst>
        </c:ser>
        <c:ser>
          <c:idx val="6"/>
          <c:order val="6"/>
          <c:tx>
            <c:strRef>
              <c:f>'02_Marca_OUTPUT'!$P$27</c:f>
              <c:strCache>
                <c:ptCount val="1"/>
                <c:pt idx="0">
                  <c:v>Total Lava Mil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'02_Marca_OUTPUT'!$AA$27:$AB$27</c:f>
              <c:numCache>
                <c:formatCode>0.0%</c:formatCode>
                <c:ptCount val="2"/>
                <c:pt idx="0">
                  <c:v>1.5888003579601205E-2</c:v>
                </c:pt>
                <c:pt idx="1">
                  <c:v>1.3098703096728117E-2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D8-4C5B-A47F-6BA980E9BA83}"/>
            </c:ext>
          </c:extLst>
        </c:ser>
        <c:ser>
          <c:idx val="7"/>
          <c:order val="7"/>
          <c:tx>
            <c:strRef>
              <c:f>'02_Marca_OUTPUT'!$P$28</c:f>
              <c:strCache>
                <c:ptCount val="1"/>
                <c:pt idx="0">
                  <c:v>Total Otras Marcas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'02_Marca_OUTPUT'!$AA$28:$AB$28</c:f>
              <c:numCache>
                <c:formatCode>0.0%</c:formatCode>
                <c:ptCount val="2"/>
                <c:pt idx="0">
                  <c:v>1.5149886992412724E-2</c:v>
                </c:pt>
                <c:pt idx="1">
                  <c:v>1.1391043966237824E-2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D8-4C5B-A47F-6BA980E9BA83}"/>
            </c:ext>
          </c:extLst>
        </c:ser>
        <c:ser>
          <c:idx val="8"/>
          <c:order val="8"/>
          <c:tx>
            <c:strRef>
              <c:f>'02_Marca_OUTPUT'!$P$29</c:f>
              <c:strCache>
                <c:ptCount val="1"/>
                <c:pt idx="0">
                  <c:v>Total Binner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'02_Marca_OUTPUT'!$AA$29:$AB$29</c:f>
              <c:numCache>
                <c:formatCode>0.0%</c:formatCode>
                <c:ptCount val="2"/>
                <c:pt idx="0">
                  <c:v>3.0616864642806184E-3</c:v>
                </c:pt>
                <c:pt idx="1">
                  <c:v>4.5165190086799353E-3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D8-4C5B-A47F-6BA980E9BA83}"/>
            </c:ext>
          </c:extLst>
        </c:ser>
        <c:ser>
          <c:idx val="9"/>
          <c:order val="9"/>
          <c:tx>
            <c:strRef>
              <c:f>'02_Marca_OUTPUT'!$P$30</c:f>
              <c:strCache>
                <c:ptCount val="1"/>
                <c:pt idx="0">
                  <c:v>Total Finish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'02_Marca_OUTPUT'!$AA$20:$AB$20</c:f>
              <c:strCache>
                <c:ptCount val="2"/>
                <c:pt idx="0">
                  <c:v>Share anterior</c:v>
                </c:pt>
                <c:pt idx="1">
                  <c:v>Share reciente</c:v>
                </c:pt>
              </c:strCache>
            </c:strRef>
          </c:cat>
          <c:val>
            <c:numRef>
              <c:f>'02_Marca_OUTPUT'!$AA$30:$AB$30</c:f>
              <c:numCache>
                <c:formatCode>0.0%</c:formatCode>
                <c:ptCount val="2"/>
                <c:pt idx="0">
                  <c:v>2.2918608112940646E-3</c:v>
                </c:pt>
                <c:pt idx="1">
                  <c:v>2.7510069403576111E-3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D8-4C5B-A47F-6BA980E9B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1128864"/>
        <c:axId val="586658064"/>
      </c:barChart>
      <c:catAx>
        <c:axId val="20111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6658064"/>
        <c:crosses val="autoZero"/>
        <c:auto val="1"/>
        <c:lblAlgn val="ctr"/>
        <c:lblOffset val="100"/>
        <c:noMultiLvlLbl val="0"/>
      </c:catAx>
      <c:valAx>
        <c:axId val="586658064"/>
        <c:scaling>
          <c:orientation val="minMax"/>
          <c:max val="1"/>
        </c:scaling>
        <c:delete val="1"/>
        <c:axPos val="l"/>
        <c:numFmt formatCode="0.0%" sourceLinked="1"/>
        <c:majorTickMark val="none"/>
        <c:minorTickMark val="none"/>
        <c:tickLblPos val="nextTo"/>
        <c:crossAx val="201112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873124</xdr:colOff>
      <xdr:row>50</xdr:row>
      <xdr:rowOff>117474</xdr:rowOff>
    </xdr:from>
    <xdr:to>
      <xdr:col>8</xdr:col>
      <xdr:colOff>1083469</xdr:colOff>
      <xdr:row>74</xdr:row>
      <xdr:rowOff>178593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B21C8-A990-40FC-9DD9-51C70B111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18256</xdr:colOff>
      <xdr:row>34</xdr:row>
      <xdr:rowOff>171451</xdr:rowOff>
    </xdr:from>
    <xdr:to>
      <xdr:col>20</xdr:col>
      <xdr:colOff>916782</xdr:colOff>
      <xdr:row>53</xdr:row>
      <xdr:rowOff>107156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F6F309-7507-4EC3-BC7A-1F4A3EA14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65881</xdr:colOff>
      <xdr:row>34</xdr:row>
      <xdr:rowOff>171451</xdr:rowOff>
    </xdr:from>
    <xdr:to>
      <xdr:col>26</xdr:col>
      <xdr:colOff>964407</xdr:colOff>
      <xdr:row>53</xdr:row>
      <xdr:rowOff>103981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716B6E-4D25-5EE0-1FB8-A9074ADB6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3860-591D-498D-B549-BC78A676CCD5}">
  <sheetPr codeName="Sheet1"/>
  <dimension ref="A1:RF50"/>
  <sheetViews>
    <sheetView tabSelected="1" topLeftCell="A9" zoomScale="80" zoomScaleNormal="80" workbookViewId="0">
      <selection activeCell="I21" sqref="I21:M30"/>
    </sheetView>
  </sheetViews>
  <sheetFormatPr defaultRowHeight="15" x14ac:dyDescent="0.25"/>
  <cols>
    <col min="1" max="1" width="19.5703125" bestFit="1" customWidth="1"/>
    <col min="2" max="2" width="28" bestFit="1" customWidth="1"/>
    <col min="3" max="30" width="17.42578125" customWidth="1"/>
    <col min="31" max="31" width="37.7109375" bestFit="1" customWidth="1"/>
    <col min="32" max="32" width="33.7109375" bestFit="1" customWidth="1"/>
    <col min="33" max="33" width="62.28515625" bestFit="1" customWidth="1"/>
    <col min="34" max="34" width="53.42578125" bestFit="1" customWidth="1"/>
    <col min="35" max="35" width="69.7109375" bestFit="1" customWidth="1"/>
    <col min="36" max="36" width="61" bestFit="1" customWidth="1"/>
    <col min="37" max="37" width="73.5703125" bestFit="1" customWidth="1"/>
    <col min="38" max="38" width="64.7109375" bestFit="1" customWidth="1"/>
    <col min="39" max="39" width="67.42578125" bestFit="1" customWidth="1"/>
    <col min="40" max="40" width="77.28515625" bestFit="1" customWidth="1"/>
    <col min="41" max="41" width="72.7109375" bestFit="1" customWidth="1"/>
    <col min="42" max="42" width="75.28515625" bestFit="1" customWidth="1"/>
    <col min="43" max="43" width="84.7109375" bestFit="1" customWidth="1"/>
    <col min="44" max="44" width="80.28515625" bestFit="1" customWidth="1"/>
    <col min="45" max="45" width="78.7109375" bestFit="1" customWidth="1"/>
    <col min="46" max="46" width="88.5703125" bestFit="1" customWidth="1"/>
    <col min="47" max="47" width="84.28515625" bestFit="1" customWidth="1"/>
    <col min="48" max="48" width="53.7109375" bestFit="1" customWidth="1"/>
    <col min="49" max="49" width="45" bestFit="1" customWidth="1"/>
    <col min="50" max="50" width="61.42578125" bestFit="1" customWidth="1"/>
    <col min="51" max="51" width="52.7109375" bestFit="1" customWidth="1"/>
    <col min="52" max="52" width="65.28515625" bestFit="1" customWidth="1"/>
    <col min="53" max="53" width="56.42578125" bestFit="1" customWidth="1"/>
    <col min="54" max="54" width="43" bestFit="1" customWidth="1"/>
    <col min="55" max="55" width="52.7109375" bestFit="1" customWidth="1"/>
    <col min="56" max="56" width="48.28515625" bestFit="1" customWidth="1"/>
    <col min="57" max="57" width="43.42578125" bestFit="1" customWidth="1"/>
    <col min="58" max="58" width="39.42578125" bestFit="1" customWidth="1"/>
    <col min="59" max="59" width="23.7109375" bestFit="1" customWidth="1"/>
    <col min="60" max="60" width="33.42578125" bestFit="1" customWidth="1"/>
    <col min="61" max="61" width="28.7109375" bestFit="1" customWidth="1"/>
    <col min="62" max="62" width="24.28515625" bestFit="1" customWidth="1"/>
    <col min="63" max="63" width="20.28515625" bestFit="1" customWidth="1"/>
    <col min="64" max="64" width="46.7109375" bestFit="1" customWidth="1"/>
    <col min="65" max="65" width="56.42578125" bestFit="1" customWidth="1"/>
    <col min="66" max="66" width="52" bestFit="1" customWidth="1"/>
    <col min="67" max="67" width="63.5703125" bestFit="1" customWidth="1"/>
    <col min="68" max="68" width="73.28515625" bestFit="1" customWidth="1"/>
    <col min="69" max="69" width="68.7109375" bestFit="1" customWidth="1"/>
    <col min="70" max="70" width="63.7109375" bestFit="1" customWidth="1"/>
    <col min="71" max="71" width="60" bestFit="1" customWidth="1"/>
    <col min="72" max="72" width="67.28515625" bestFit="1" customWidth="1"/>
    <col min="73" max="73" width="77" bestFit="1" customWidth="1"/>
    <col min="74" max="74" width="72.42578125" bestFit="1" customWidth="1"/>
    <col min="75" max="75" width="67.42578125" bestFit="1" customWidth="1"/>
    <col min="76" max="76" width="63.7109375" bestFit="1" customWidth="1"/>
    <col min="77" max="77" width="47.28515625" bestFit="1" customWidth="1"/>
    <col min="78" max="78" width="43.28515625" bestFit="1" customWidth="1"/>
    <col min="79" max="79" width="60.28515625" bestFit="1" customWidth="1"/>
    <col min="80" max="80" width="69.7109375" bestFit="1" customWidth="1"/>
    <col min="81" max="81" width="65.28515625" bestFit="1" customWidth="1"/>
    <col min="82" max="82" width="77.28515625" bestFit="1" customWidth="1"/>
    <col min="83" max="83" width="86.7109375" bestFit="1" customWidth="1"/>
    <col min="84" max="84" width="82.28515625" bestFit="1" customWidth="1"/>
    <col min="85" max="85" width="77.42578125" bestFit="1" customWidth="1"/>
    <col min="86" max="86" width="73.5703125" bestFit="1" customWidth="1"/>
    <col min="87" max="87" width="80.7109375" bestFit="1" customWidth="1"/>
    <col min="88" max="88" width="90.5703125" bestFit="1" customWidth="1"/>
    <col min="89" max="89" width="86" bestFit="1" customWidth="1"/>
    <col min="90" max="90" width="81.28515625" bestFit="1" customWidth="1"/>
    <col min="91" max="91" width="77.28515625" bestFit="1" customWidth="1"/>
    <col min="92" max="92" width="60.5703125" bestFit="1" customWidth="1"/>
    <col min="93" max="93" width="56.5703125" bestFit="1" customWidth="1"/>
    <col min="94" max="94" width="59.28515625" bestFit="1" customWidth="1"/>
    <col min="95" max="95" width="68.7109375" bestFit="1" customWidth="1"/>
    <col min="96" max="96" width="64.42578125" bestFit="1" customWidth="1"/>
    <col min="97" max="97" width="59.5703125" bestFit="1" customWidth="1"/>
    <col min="98" max="98" width="55.7109375" bestFit="1" customWidth="1"/>
    <col min="99" max="99" width="62.7109375" bestFit="1" customWidth="1"/>
    <col min="100" max="100" width="72.42578125" bestFit="1" customWidth="1"/>
    <col min="101" max="101" width="68" bestFit="1" customWidth="1"/>
    <col min="102" max="102" width="63" bestFit="1" customWidth="1"/>
    <col min="103" max="103" width="59.28515625" bestFit="1" customWidth="1"/>
    <col min="104" max="104" width="50.28515625" bestFit="1" customWidth="1"/>
    <col min="105" max="105" width="59.7109375" bestFit="1" customWidth="1"/>
    <col min="106" max="106" width="55.28515625" bestFit="1" customWidth="1"/>
    <col min="107" max="107" width="50.5703125" bestFit="1" customWidth="1"/>
    <col min="108" max="108" width="46.5703125" bestFit="1" customWidth="1"/>
    <col min="109" max="109" width="57.28515625" bestFit="1" customWidth="1"/>
    <col min="110" max="110" width="66.7109375" bestFit="1" customWidth="1"/>
    <col min="111" max="111" width="62.28515625" bestFit="1" customWidth="1"/>
    <col min="112" max="112" width="57.42578125" bestFit="1" customWidth="1"/>
    <col min="113" max="113" width="53.5703125" bestFit="1" customWidth="1"/>
    <col min="114" max="114" width="56.28515625" bestFit="1" customWidth="1"/>
    <col min="115" max="115" width="65.7109375" bestFit="1" customWidth="1"/>
    <col min="116" max="116" width="61.42578125" bestFit="1" customWidth="1"/>
    <col min="117" max="117" width="56.5703125" bestFit="1" customWidth="1"/>
    <col min="118" max="118" width="52.7109375" bestFit="1" customWidth="1"/>
    <col min="119" max="119" width="60.28515625" bestFit="1" customWidth="1"/>
    <col min="120" max="120" width="69.7109375" bestFit="1" customWidth="1"/>
    <col min="121" max="121" width="65.28515625" bestFit="1" customWidth="1"/>
    <col min="122" max="122" width="60.5703125" bestFit="1" customWidth="1"/>
    <col min="123" max="123" width="56.5703125" bestFit="1" customWidth="1"/>
    <col min="124" max="124" width="63.7109375" bestFit="1" customWidth="1"/>
    <col min="125" max="125" width="73.5703125" bestFit="1" customWidth="1"/>
    <col min="126" max="126" width="69.28515625" bestFit="1" customWidth="1"/>
    <col min="127" max="127" width="64.28515625" bestFit="1" customWidth="1"/>
    <col min="128" max="128" width="60.28515625" bestFit="1" customWidth="1"/>
    <col min="129" max="129" width="51" bestFit="1" customWidth="1"/>
    <col min="130" max="130" width="60.7109375" bestFit="1" customWidth="1"/>
    <col min="131" max="131" width="56.28515625" bestFit="1" customWidth="1"/>
    <col min="132" max="132" width="51.42578125" bestFit="1" customWidth="1"/>
    <col min="133" max="133" width="47.42578125" bestFit="1" customWidth="1"/>
    <col min="134" max="134" width="30.7109375" bestFit="1" customWidth="1"/>
    <col min="135" max="135" width="40.5703125" bestFit="1" customWidth="1"/>
    <col min="136" max="136" width="36" bestFit="1" customWidth="1"/>
    <col min="137" max="137" width="31.28515625" bestFit="1" customWidth="1"/>
    <col min="138" max="138" width="27.28515625" bestFit="1" customWidth="1"/>
    <col min="139" max="139" width="35.7109375" bestFit="1" customWidth="1"/>
    <col min="140" max="140" width="45.5703125" bestFit="1" customWidth="1"/>
    <col min="141" max="141" width="36" bestFit="1" customWidth="1"/>
    <col min="142" max="142" width="32.28515625" bestFit="1" customWidth="1"/>
    <col min="143" max="143" width="37.28515625" bestFit="1" customWidth="1"/>
    <col min="144" max="144" width="46.7109375" bestFit="1" customWidth="1"/>
    <col min="145" max="145" width="42.28515625" bestFit="1" customWidth="1"/>
    <col min="146" max="146" width="37.42578125" bestFit="1" customWidth="1"/>
    <col min="147" max="147" width="33.5703125" bestFit="1" customWidth="1"/>
    <col min="148" max="148" width="46.28515625" bestFit="1" customWidth="1"/>
    <col min="149" max="149" width="55.7109375" bestFit="1" customWidth="1"/>
    <col min="150" max="150" width="51.42578125" bestFit="1" customWidth="1"/>
    <col min="151" max="151" width="46.5703125" bestFit="1" customWidth="1"/>
    <col min="152" max="152" width="42.7109375" bestFit="1" customWidth="1"/>
    <col min="153" max="153" width="49.5703125" bestFit="1" customWidth="1"/>
    <col min="154" max="154" width="59.42578125" bestFit="1" customWidth="1"/>
    <col min="155" max="155" width="55" bestFit="1" customWidth="1"/>
    <col min="156" max="156" width="50.28515625" bestFit="1" customWidth="1"/>
    <col min="157" max="157" width="46.28515625" bestFit="1" customWidth="1"/>
    <col min="158" max="158" width="43.7109375" bestFit="1" customWidth="1"/>
    <col min="159" max="159" width="53.42578125" bestFit="1" customWidth="1"/>
    <col min="160" max="160" width="48.7109375" bestFit="1" customWidth="1"/>
    <col min="161" max="161" width="44.28515625" bestFit="1" customWidth="1"/>
    <col min="162" max="162" width="40.28515625" bestFit="1" customWidth="1"/>
    <col min="163" max="163" width="52.7109375" bestFit="1" customWidth="1"/>
    <col min="164" max="164" width="62.42578125" bestFit="1" customWidth="1"/>
    <col min="165" max="165" width="58" bestFit="1" customWidth="1"/>
    <col min="166" max="166" width="53.28515625" bestFit="1" customWidth="1"/>
    <col min="167" max="167" width="49.28515625" bestFit="1" customWidth="1"/>
    <col min="168" max="168" width="56.42578125" bestFit="1" customWidth="1"/>
    <col min="169" max="169" width="66" bestFit="1" customWidth="1"/>
    <col min="170" max="170" width="61.5703125" bestFit="1" customWidth="1"/>
    <col min="171" max="171" width="56.7109375" bestFit="1" customWidth="1"/>
    <col min="172" max="172" width="52.7109375" bestFit="1" customWidth="1"/>
    <col min="173" max="173" width="53.7109375" bestFit="1" customWidth="1"/>
    <col min="174" max="174" width="63.5703125" bestFit="1" customWidth="1"/>
    <col min="175" max="175" width="59.28515625" bestFit="1" customWidth="1"/>
    <col min="176" max="176" width="54.28515625" bestFit="1" customWidth="1"/>
    <col min="177" max="177" width="50.28515625" bestFit="1" customWidth="1"/>
    <col min="178" max="178" width="62.7109375" bestFit="1" customWidth="1"/>
    <col min="179" max="179" width="72.7109375" bestFit="1" customWidth="1"/>
    <col min="180" max="180" width="68.28515625" bestFit="1" customWidth="1"/>
    <col min="181" max="181" width="63.42578125" bestFit="1" customWidth="1"/>
    <col min="182" max="182" width="59.42578125" bestFit="1" customWidth="1"/>
    <col min="183" max="183" width="66.42578125" bestFit="1" customWidth="1"/>
    <col min="184" max="184" width="76" bestFit="1" customWidth="1"/>
    <col min="185" max="185" width="71.5703125" bestFit="1" customWidth="1"/>
    <col min="186" max="186" width="66.7109375" bestFit="1" customWidth="1"/>
    <col min="187" max="187" width="62.7109375" bestFit="1" customWidth="1"/>
    <col min="188" max="188" width="56.7109375" bestFit="1" customWidth="1"/>
    <col min="189" max="189" width="66.42578125" bestFit="1" customWidth="1"/>
    <col min="190" max="190" width="62" bestFit="1" customWidth="1"/>
    <col min="191" max="191" width="57.28515625" bestFit="1" customWidth="1"/>
    <col min="192" max="192" width="53.28515625" bestFit="1" customWidth="1"/>
    <col min="193" max="193" width="65.7109375" bestFit="1" customWidth="1"/>
    <col min="194" max="194" width="75.5703125" bestFit="1" customWidth="1"/>
    <col min="195" max="195" width="71" bestFit="1" customWidth="1"/>
    <col min="196" max="196" width="66.28515625" bestFit="1" customWidth="1"/>
    <col min="197" max="197" width="62.28515625" bestFit="1" customWidth="1"/>
    <col min="198" max="198" width="69.42578125" bestFit="1" customWidth="1"/>
    <col min="199" max="199" width="79.28515625" bestFit="1" customWidth="1"/>
    <col min="200" max="200" width="74.5703125" bestFit="1" customWidth="1"/>
    <col min="201" max="201" width="69.7109375" bestFit="1" customWidth="1"/>
    <col min="202" max="202" width="65.7109375" bestFit="1" customWidth="1"/>
    <col min="203" max="203" width="47.7109375" bestFit="1" customWidth="1"/>
    <col min="204" max="204" width="57.42578125" bestFit="1" customWidth="1"/>
    <col min="205" max="205" width="53" bestFit="1" customWidth="1"/>
    <col min="206" max="206" width="48.28515625" bestFit="1" customWidth="1"/>
    <col min="207" max="207" width="44.28515625" bestFit="1" customWidth="1"/>
    <col min="208" max="208" width="57" bestFit="1" customWidth="1"/>
    <col min="209" max="209" width="66.5703125" bestFit="1" customWidth="1"/>
    <col min="210" max="210" width="62.28515625" bestFit="1" customWidth="1"/>
    <col min="211" max="211" width="57.28515625" bestFit="1" customWidth="1"/>
    <col min="212" max="212" width="53.42578125" bestFit="1" customWidth="1"/>
    <col min="213" max="213" width="60.5703125" bestFit="1" customWidth="1"/>
    <col min="214" max="214" width="70.28515625" bestFit="1" customWidth="1"/>
    <col min="215" max="215" width="65.7109375" bestFit="1" customWidth="1"/>
    <col min="216" max="216" width="60.7109375" bestFit="1" customWidth="1"/>
    <col min="217" max="217" width="57" bestFit="1" customWidth="1"/>
    <col min="218" max="218" width="58.5703125" bestFit="1" customWidth="1"/>
    <col min="219" max="219" width="68.42578125" bestFit="1" customWidth="1"/>
    <col min="220" max="220" width="63.7109375" bestFit="1" customWidth="1"/>
    <col min="221" max="221" width="59.28515625" bestFit="1" customWidth="1"/>
    <col min="222" max="222" width="55.28515625" bestFit="1" customWidth="1"/>
    <col min="223" max="223" width="35.7109375" bestFit="1" customWidth="1"/>
    <col min="224" max="224" width="45.5703125" bestFit="1" customWidth="1"/>
    <col min="225" max="225" width="41" bestFit="1" customWidth="1"/>
    <col min="226" max="226" width="36" bestFit="1" customWidth="1"/>
    <col min="227" max="227" width="32.28515625" bestFit="1" customWidth="1"/>
    <col min="228" max="228" width="39.42578125" bestFit="1" customWidth="1"/>
    <col min="229" max="229" width="49.28515625" bestFit="1" customWidth="1"/>
    <col min="230" max="230" width="44.5703125" bestFit="1" customWidth="1"/>
    <col min="231" max="231" width="39.7109375" bestFit="1" customWidth="1"/>
    <col min="232" max="232" width="35.7109375" bestFit="1" customWidth="1"/>
    <col min="233" max="233" width="50.28515625" bestFit="1" customWidth="1"/>
    <col min="234" max="234" width="60" bestFit="1" customWidth="1"/>
    <col min="235" max="235" width="55.5703125" bestFit="1" customWidth="1"/>
    <col min="236" max="236" width="50.7109375" bestFit="1" customWidth="1"/>
    <col min="237" max="237" width="46.7109375" bestFit="1" customWidth="1"/>
    <col min="238" max="238" width="59.42578125" bestFit="1" customWidth="1"/>
    <col min="239" max="239" width="69.28515625" bestFit="1" customWidth="1"/>
    <col min="240" max="240" width="64.5703125" bestFit="1" customWidth="1"/>
    <col min="241" max="241" width="59.7109375" bestFit="1" customWidth="1"/>
    <col min="242" max="242" width="55.7109375" bestFit="1" customWidth="1"/>
    <col min="243" max="243" width="62.7109375" bestFit="1" customWidth="1"/>
    <col min="244" max="244" width="72.7109375" bestFit="1" customWidth="1"/>
    <col min="245" max="245" width="68.28515625" bestFit="1" customWidth="1"/>
    <col min="246" max="246" width="63.42578125" bestFit="1" customWidth="1"/>
    <col min="247" max="247" width="59.42578125" bestFit="1" customWidth="1"/>
    <col min="248" max="248" width="39.7109375" bestFit="1" customWidth="1"/>
    <col min="249" max="249" width="49.42578125" bestFit="1" customWidth="1"/>
    <col min="250" max="250" width="45" bestFit="1" customWidth="1"/>
    <col min="251" max="251" width="40.28515625" bestFit="1" customWidth="1"/>
    <col min="252" max="252" width="36.28515625" bestFit="1" customWidth="1"/>
    <col min="253" max="253" width="48.7109375" bestFit="1" customWidth="1"/>
    <col min="254" max="254" width="58.5703125" bestFit="1" customWidth="1"/>
    <col min="255" max="255" width="54.28515625" bestFit="1" customWidth="1"/>
    <col min="256" max="256" width="49.28515625" bestFit="1" customWidth="1"/>
    <col min="257" max="257" width="45.5703125" bestFit="1" customWidth="1"/>
    <col min="258" max="258" width="52.42578125" bestFit="1" customWidth="1"/>
    <col min="259" max="259" width="62.28515625" bestFit="1" customWidth="1"/>
    <col min="260" max="260" width="57.7109375" bestFit="1" customWidth="1"/>
    <col min="261" max="261" width="52.7109375" bestFit="1" customWidth="1"/>
    <col min="262" max="262" width="48.7109375" bestFit="1" customWidth="1"/>
    <col min="263" max="263" width="30" bestFit="1" customWidth="1"/>
    <col min="264" max="264" width="39.5703125" bestFit="1" customWidth="1"/>
    <col min="265" max="265" width="30.28515625" bestFit="1" customWidth="1"/>
    <col min="266" max="266" width="26.42578125" bestFit="1" customWidth="1"/>
    <col min="267" max="267" width="39.28515625" bestFit="1" customWidth="1"/>
    <col min="268" max="268" width="48.7109375" bestFit="1" customWidth="1"/>
    <col min="269" max="269" width="39.42578125" bestFit="1" customWidth="1"/>
    <col min="270" max="270" width="35.5703125" bestFit="1" customWidth="1"/>
    <col min="271" max="271" width="42.7109375" bestFit="1" customWidth="1"/>
    <col min="272" max="272" width="52.28515625" bestFit="1" customWidth="1"/>
    <col min="273" max="273" width="43" bestFit="1" customWidth="1"/>
    <col min="274" max="274" width="39.28515625" bestFit="1" customWidth="1"/>
    <col min="275" max="275" width="34.7109375" bestFit="1" customWidth="1"/>
    <col min="276" max="276" width="44.42578125" bestFit="1" customWidth="1"/>
    <col min="277" max="277" width="35.28515625" bestFit="1" customWidth="1"/>
    <col min="278" max="278" width="31.28515625" bestFit="1" customWidth="1"/>
    <col min="279" max="279" width="50.28515625" bestFit="1" customWidth="1"/>
    <col min="280" max="280" width="59.7109375" bestFit="1" customWidth="1"/>
    <col min="281" max="281" width="55.28515625" bestFit="1" customWidth="1"/>
    <col min="282" max="282" width="50.5703125" bestFit="1" customWidth="1"/>
    <col min="283" max="283" width="46.5703125" bestFit="1" customWidth="1"/>
    <col min="284" max="284" width="40.28515625" bestFit="1" customWidth="1"/>
    <col min="285" max="285" width="50" bestFit="1" customWidth="1"/>
    <col min="286" max="286" width="45.5703125" bestFit="1" customWidth="1"/>
    <col min="287" max="287" width="40.5703125" bestFit="1" customWidth="1"/>
    <col min="288" max="288" width="36.7109375" bestFit="1" customWidth="1"/>
    <col min="289" max="289" width="53" bestFit="1" customWidth="1"/>
    <col min="290" max="290" width="62.7109375" bestFit="1" customWidth="1"/>
    <col min="291" max="291" width="58.28515625" bestFit="1" customWidth="1"/>
    <col min="292" max="292" width="53.42578125" bestFit="1" customWidth="1"/>
    <col min="293" max="293" width="49.42578125" bestFit="1" customWidth="1"/>
    <col min="294" max="294" width="59.7109375" bestFit="1" customWidth="1"/>
    <col min="295" max="295" width="55.28515625" bestFit="1" customWidth="1"/>
    <col min="296" max="296" width="50.5703125" bestFit="1" customWidth="1"/>
    <col min="297" max="297" width="67.28515625" bestFit="1" customWidth="1"/>
    <col min="298" max="298" width="62.7109375" bestFit="1" customWidth="1"/>
    <col min="299" max="299" width="58" bestFit="1" customWidth="1"/>
    <col min="300" max="300" width="71" bestFit="1" customWidth="1"/>
    <col min="301" max="301" width="66.5703125" bestFit="1" customWidth="1"/>
    <col min="302" max="302" width="61.7109375" bestFit="1" customWidth="1"/>
    <col min="303" max="303" width="64.28515625" bestFit="1" customWidth="1"/>
    <col min="304" max="304" width="73.7109375" bestFit="1" customWidth="1"/>
    <col min="305" max="305" width="69.28515625" bestFit="1" customWidth="1"/>
    <col min="306" max="306" width="64.42578125" bestFit="1" customWidth="1"/>
    <col min="307" max="307" width="60.5703125" bestFit="1" customWidth="1"/>
    <col min="308" max="308" width="71.5703125" bestFit="1" customWidth="1"/>
    <col min="309" max="309" width="81.42578125" bestFit="1" customWidth="1"/>
    <col min="310" max="310" width="77" bestFit="1" customWidth="1"/>
    <col min="311" max="311" width="72" bestFit="1" customWidth="1"/>
    <col min="312" max="312" width="68.28515625" bestFit="1" customWidth="1"/>
    <col min="313" max="313" width="75.28515625" bestFit="1" customWidth="1"/>
    <col min="314" max="314" width="85" bestFit="1" customWidth="1"/>
    <col min="315" max="315" width="80.5703125" bestFit="1" customWidth="1"/>
    <col min="316" max="316" width="75.7109375" bestFit="1" customWidth="1"/>
    <col min="317" max="317" width="71.7109375" bestFit="1" customWidth="1"/>
    <col min="318" max="318" width="29.28515625" bestFit="1" customWidth="1"/>
    <col min="319" max="319" width="38.7109375" bestFit="1" customWidth="1"/>
    <col min="320" max="320" width="34.28515625" bestFit="1" customWidth="1"/>
    <col min="321" max="321" width="29.42578125" bestFit="1" customWidth="1"/>
    <col min="322" max="322" width="25.5703125" bestFit="1" customWidth="1"/>
    <col min="323" max="323" width="38.28515625" bestFit="1" customWidth="1"/>
    <col min="324" max="324" width="47.7109375" bestFit="1" customWidth="1"/>
    <col min="325" max="325" width="43.42578125" bestFit="1" customWidth="1"/>
    <col min="326" max="326" width="38.5703125" bestFit="1" customWidth="1"/>
    <col min="327" max="327" width="34.5703125" bestFit="1" customWidth="1"/>
    <col min="328" max="328" width="41.7109375" bestFit="1" customWidth="1"/>
    <col min="329" max="329" width="51.42578125" bestFit="1" customWidth="1"/>
    <col min="330" max="330" width="47" bestFit="1" customWidth="1"/>
    <col min="331" max="331" width="42.28515625" bestFit="1" customWidth="1"/>
    <col min="332" max="332" width="38.28515625" bestFit="1" customWidth="1"/>
    <col min="333" max="333" width="41.5703125" bestFit="1" customWidth="1"/>
    <col min="334" max="334" width="51.28515625" bestFit="1" customWidth="1"/>
    <col min="335" max="335" width="46.7109375" bestFit="1" customWidth="1"/>
    <col min="336" max="336" width="42" bestFit="1" customWidth="1"/>
    <col min="337" max="337" width="38" bestFit="1" customWidth="1"/>
    <col min="338" max="338" width="50.7109375" bestFit="1" customWidth="1"/>
    <col min="339" max="339" width="60.28515625" bestFit="1" customWidth="1"/>
    <col min="340" max="340" width="55.7109375" bestFit="1" customWidth="1"/>
    <col min="341" max="341" width="51" bestFit="1" customWidth="1"/>
    <col min="342" max="342" width="47.28515625" bestFit="1" customWidth="1"/>
    <col min="343" max="343" width="54.28515625" bestFit="1" customWidth="1"/>
    <col min="344" max="344" width="63.7109375" bestFit="1" customWidth="1"/>
    <col min="345" max="345" width="59.42578125" bestFit="1" customWidth="1"/>
    <col min="346" max="346" width="54.5703125" bestFit="1" customWidth="1"/>
    <col min="347" max="347" width="50.7109375" bestFit="1" customWidth="1"/>
    <col min="348" max="348" width="53.7109375" bestFit="1" customWidth="1"/>
    <col min="349" max="349" width="63.7109375" bestFit="1" customWidth="1"/>
    <col min="350" max="350" width="59.28515625" bestFit="1" customWidth="1"/>
    <col min="351" max="351" width="54.42578125" bestFit="1" customWidth="1"/>
    <col min="352" max="352" width="50.5703125" bestFit="1" customWidth="1"/>
    <col min="353" max="353" width="63" bestFit="1" customWidth="1"/>
    <col min="354" max="354" width="72.7109375" bestFit="1" customWidth="1"/>
    <col min="355" max="355" width="68.42578125" bestFit="1" customWidth="1"/>
    <col min="356" max="356" width="63.5703125" bestFit="1" customWidth="1"/>
    <col min="357" max="357" width="59.5703125" bestFit="1" customWidth="1"/>
    <col min="358" max="358" width="66.5703125" bestFit="1" customWidth="1"/>
    <col min="359" max="359" width="76.28515625" bestFit="1" customWidth="1"/>
    <col min="360" max="360" width="71.7109375" bestFit="1" customWidth="1"/>
    <col min="361" max="361" width="67" bestFit="1" customWidth="1"/>
    <col min="362" max="362" width="63" bestFit="1" customWidth="1"/>
    <col min="363" max="363" width="27.7109375" bestFit="1" customWidth="1"/>
    <col min="364" max="364" width="37.42578125" bestFit="1" customWidth="1"/>
    <col min="365" max="365" width="33" bestFit="1" customWidth="1"/>
    <col min="366" max="366" width="28.28515625" bestFit="1" customWidth="1"/>
    <col min="367" max="367" width="24.28515625" bestFit="1" customWidth="1"/>
    <col min="368" max="368" width="36.7109375" bestFit="1" customWidth="1"/>
    <col min="369" max="369" width="46.42578125" bestFit="1" customWidth="1"/>
    <col min="370" max="370" width="42" bestFit="1" customWidth="1"/>
    <col min="371" max="371" width="37.28515625" bestFit="1" customWidth="1"/>
    <col min="372" max="372" width="33.28515625" bestFit="1" customWidth="1"/>
    <col min="373" max="373" width="26.5703125" bestFit="1" customWidth="1"/>
    <col min="374" max="374" width="36.28515625" bestFit="1" customWidth="1"/>
    <col min="375" max="375" width="31.7109375" bestFit="1" customWidth="1"/>
    <col min="376" max="376" width="27" bestFit="1" customWidth="1"/>
    <col min="377" max="377" width="23.28515625" bestFit="1" customWidth="1"/>
    <col min="378" max="378" width="35.7109375" bestFit="1" customWidth="1"/>
    <col min="379" max="379" width="45.5703125" bestFit="1" customWidth="1"/>
    <col min="380" max="380" width="41" bestFit="1" customWidth="1"/>
    <col min="381" max="381" width="36" bestFit="1" customWidth="1"/>
    <col min="382" max="382" width="32.28515625" bestFit="1" customWidth="1"/>
    <col min="383" max="383" width="39.28515625" bestFit="1" customWidth="1"/>
    <col min="384" max="384" width="48.7109375" bestFit="1" customWidth="1"/>
    <col min="385" max="385" width="44.42578125" bestFit="1" customWidth="1"/>
    <col min="386" max="386" width="39.5703125" bestFit="1" customWidth="1"/>
    <col min="387" max="387" width="35.7109375" bestFit="1" customWidth="1"/>
    <col min="388" max="388" width="43.42578125" bestFit="1" customWidth="1"/>
    <col min="389" max="389" width="53" bestFit="1" customWidth="1"/>
    <col min="390" max="390" width="48.5703125" bestFit="1" customWidth="1"/>
    <col min="391" max="391" width="43.7109375" bestFit="1" customWidth="1"/>
    <col min="392" max="392" width="39.7109375" bestFit="1" customWidth="1"/>
    <col min="393" max="393" width="53" bestFit="1" customWidth="1"/>
    <col min="394" max="394" width="62.7109375" bestFit="1" customWidth="1"/>
    <col min="395" max="395" width="58.28515625" bestFit="1" customWidth="1"/>
    <col min="396" max="396" width="53.42578125" bestFit="1" customWidth="1"/>
    <col min="397" max="397" width="49.42578125" bestFit="1" customWidth="1"/>
    <col min="398" max="398" width="56.5703125" bestFit="1" customWidth="1"/>
    <col min="399" max="399" width="66.28515625" bestFit="1" customWidth="1"/>
    <col min="400" max="400" width="61.7109375" bestFit="1" customWidth="1"/>
    <col min="401" max="401" width="57" bestFit="1" customWidth="1"/>
    <col min="402" max="402" width="53" bestFit="1" customWidth="1"/>
  </cols>
  <sheetData>
    <row r="1" spans="1:474" ht="17.25" x14ac:dyDescent="0.3">
      <c r="A1" s="27" t="s">
        <v>45</v>
      </c>
      <c r="B1" s="27" t="s">
        <v>46</v>
      </c>
      <c r="C1" s="28" t="s">
        <v>47</v>
      </c>
      <c r="D1" s="29" t="s">
        <v>48</v>
      </c>
      <c r="E1" s="30" t="s">
        <v>49</v>
      </c>
      <c r="F1" s="28" t="s">
        <v>50</v>
      </c>
      <c r="G1" s="29" t="s">
        <v>51</v>
      </c>
      <c r="H1" s="31" t="s">
        <v>52</v>
      </c>
      <c r="I1" s="31" t="s">
        <v>53</v>
      </c>
      <c r="J1" s="31" t="s">
        <v>54</v>
      </c>
      <c r="K1" s="30" t="s">
        <v>55</v>
      </c>
      <c r="L1" s="31" t="s">
        <v>56</v>
      </c>
      <c r="M1" s="32" t="s">
        <v>57</v>
      </c>
      <c r="N1" s="31" t="s">
        <v>58</v>
      </c>
      <c r="O1" s="31" t="s">
        <v>59</v>
      </c>
      <c r="P1" s="31" t="s">
        <v>60</v>
      </c>
      <c r="Q1" s="30" t="s">
        <v>61</v>
      </c>
      <c r="R1" s="31" t="s">
        <v>62</v>
      </c>
      <c r="S1" s="32" t="s">
        <v>63</v>
      </c>
      <c r="T1" s="31" t="s">
        <v>64</v>
      </c>
      <c r="U1" s="31" t="s">
        <v>65</v>
      </c>
      <c r="V1" s="31" t="s">
        <v>66</v>
      </c>
      <c r="W1" s="30" t="s">
        <v>67</v>
      </c>
      <c r="X1" s="31" t="s">
        <v>68</v>
      </c>
      <c r="Y1" s="32" t="s">
        <v>69</v>
      </c>
      <c r="Z1" s="31" t="s">
        <v>70</v>
      </c>
      <c r="AA1" s="31" t="s">
        <v>71</v>
      </c>
      <c r="AB1" s="31" t="s">
        <v>72</v>
      </c>
      <c r="AC1" s="30" t="s">
        <v>73</v>
      </c>
      <c r="AD1" s="31" t="s">
        <v>74</v>
      </c>
      <c r="AE1" s="32" t="s">
        <v>14</v>
      </c>
      <c r="AF1" s="31" t="s">
        <v>75</v>
      </c>
      <c r="AG1" s="31" t="s">
        <v>76</v>
      </c>
      <c r="AH1" s="31" t="s">
        <v>77</v>
      </c>
      <c r="AI1" s="30" t="s">
        <v>0</v>
      </c>
      <c r="AJ1" s="31" t="s">
        <v>78</v>
      </c>
      <c r="AK1" s="32" t="s">
        <v>79</v>
      </c>
      <c r="AL1" s="31" t="s">
        <v>80</v>
      </c>
      <c r="AM1" s="30" t="s">
        <v>81</v>
      </c>
      <c r="AN1" s="32" t="s">
        <v>82</v>
      </c>
      <c r="AO1" s="30" t="s">
        <v>83</v>
      </c>
      <c r="AP1" s="32" t="s">
        <v>84</v>
      </c>
      <c r="AQ1" s="30" t="s">
        <v>85</v>
      </c>
      <c r="AR1" s="32" t="s">
        <v>86</v>
      </c>
      <c r="AS1" s="30" t="s">
        <v>87</v>
      </c>
      <c r="AT1" s="30" t="s">
        <v>88</v>
      </c>
      <c r="AU1" s="30" t="s">
        <v>89</v>
      </c>
      <c r="AV1" s="30" t="s">
        <v>90</v>
      </c>
      <c r="AW1" s="30" t="s">
        <v>91</v>
      </c>
      <c r="AX1" s="30" t="s">
        <v>92</v>
      </c>
      <c r="AY1" s="30" t="s">
        <v>93</v>
      </c>
      <c r="AZ1" s="30" t="s">
        <v>94</v>
      </c>
      <c r="BA1" s="30" t="s">
        <v>95</v>
      </c>
      <c r="BB1" s="30" t="s">
        <v>96</v>
      </c>
      <c r="BC1" s="28" t="s">
        <v>97</v>
      </c>
      <c r="BD1" s="30" t="s">
        <v>98</v>
      </c>
      <c r="BE1" s="28" t="s">
        <v>99</v>
      </c>
      <c r="BF1" s="30" t="s">
        <v>100</v>
      </c>
      <c r="BG1" s="28" t="s">
        <v>101</v>
      </c>
      <c r="BH1" s="28" t="s">
        <v>102</v>
      </c>
      <c r="BI1" s="29" t="s">
        <v>103</v>
      </c>
      <c r="BJ1" s="30" t="s">
        <v>104</v>
      </c>
      <c r="BK1" s="28" t="s">
        <v>105</v>
      </c>
      <c r="BL1" s="29" t="s">
        <v>106</v>
      </c>
      <c r="BM1" s="31" t="s">
        <v>107</v>
      </c>
      <c r="BN1" s="33" t="s">
        <v>108</v>
      </c>
      <c r="BO1" s="33" t="s">
        <v>109</v>
      </c>
      <c r="BP1" s="30" t="s">
        <v>1</v>
      </c>
      <c r="BQ1" s="33" t="s">
        <v>110</v>
      </c>
      <c r="BR1" s="32" t="s">
        <v>111</v>
      </c>
      <c r="BS1" s="31" t="s">
        <v>112</v>
      </c>
      <c r="BT1" s="30" t="s">
        <v>113</v>
      </c>
      <c r="BU1" s="30" t="s">
        <v>114</v>
      </c>
      <c r="BV1" s="30" t="s">
        <v>115</v>
      </c>
      <c r="BW1" s="30" t="s">
        <v>116</v>
      </c>
      <c r="BX1" s="30" t="s">
        <v>117</v>
      </c>
      <c r="BY1" s="30" t="s">
        <v>118</v>
      </c>
      <c r="BZ1" s="30" t="s">
        <v>119</v>
      </c>
      <c r="CA1" s="28" t="s">
        <v>120</v>
      </c>
      <c r="CB1" s="31" t="s">
        <v>121</v>
      </c>
      <c r="CC1" s="30" t="s">
        <v>122</v>
      </c>
      <c r="CD1" s="30" t="s">
        <v>123</v>
      </c>
      <c r="CE1" s="30" t="s">
        <v>124</v>
      </c>
      <c r="CF1" s="30" t="s">
        <v>125</v>
      </c>
      <c r="CG1" s="28" t="s">
        <v>126</v>
      </c>
      <c r="CH1" s="31" t="s">
        <v>127</v>
      </c>
      <c r="CI1" s="30" t="s">
        <v>128</v>
      </c>
      <c r="CJ1" s="28" t="s">
        <v>129</v>
      </c>
      <c r="CK1" s="31" t="s">
        <v>130</v>
      </c>
      <c r="CL1" s="30" t="s">
        <v>131</v>
      </c>
      <c r="CM1" s="30" t="s">
        <v>132</v>
      </c>
      <c r="CN1" s="30" t="s">
        <v>133</v>
      </c>
      <c r="CO1" s="30" t="s">
        <v>134</v>
      </c>
      <c r="CP1" s="30" t="s">
        <v>135</v>
      </c>
      <c r="CQ1" s="30" t="s">
        <v>136</v>
      </c>
      <c r="CR1" s="30" t="s">
        <v>137</v>
      </c>
      <c r="CS1" s="32" t="s">
        <v>138</v>
      </c>
      <c r="CT1" s="31" t="s">
        <v>139</v>
      </c>
      <c r="CU1" s="30" t="s">
        <v>140</v>
      </c>
      <c r="CV1" s="30" t="s">
        <v>141</v>
      </c>
      <c r="CW1" s="30" t="s">
        <v>142</v>
      </c>
      <c r="CX1" s="30" t="s">
        <v>143</v>
      </c>
      <c r="CY1" s="32" t="s">
        <v>144</v>
      </c>
      <c r="CZ1" s="31" t="s">
        <v>145</v>
      </c>
      <c r="DA1" s="30" t="s">
        <v>146</v>
      </c>
      <c r="DB1" s="32" t="s">
        <v>147</v>
      </c>
      <c r="DC1" s="31" t="s">
        <v>148</v>
      </c>
      <c r="DD1" s="30" t="s">
        <v>149</v>
      </c>
      <c r="DE1" s="30" t="s">
        <v>150</v>
      </c>
      <c r="DF1" s="30" t="s">
        <v>151</v>
      </c>
      <c r="DG1" s="30" t="s">
        <v>152</v>
      </c>
      <c r="DH1" s="32" t="s">
        <v>153</v>
      </c>
      <c r="DI1" s="31" t="s">
        <v>154</v>
      </c>
      <c r="DJ1" s="30" t="s">
        <v>155</v>
      </c>
      <c r="DK1" s="30" t="s">
        <v>156</v>
      </c>
      <c r="DL1" s="30" t="s">
        <v>157</v>
      </c>
      <c r="DM1" s="30" t="s">
        <v>158</v>
      </c>
      <c r="DN1" s="32" t="s">
        <v>159</v>
      </c>
      <c r="DO1" s="31" t="s">
        <v>160</v>
      </c>
      <c r="DP1" s="30" t="s">
        <v>161</v>
      </c>
      <c r="DQ1" s="30" t="s">
        <v>162</v>
      </c>
      <c r="DR1" s="30" t="s">
        <v>163</v>
      </c>
      <c r="DS1" s="30" t="s">
        <v>164</v>
      </c>
      <c r="DT1" s="32" t="s">
        <v>165</v>
      </c>
      <c r="DU1" s="31" t="s">
        <v>166</v>
      </c>
      <c r="DV1" s="30" t="s">
        <v>167</v>
      </c>
      <c r="DW1" s="30" t="s">
        <v>168</v>
      </c>
      <c r="DX1" s="30" t="s">
        <v>169</v>
      </c>
      <c r="DY1" s="30" t="s">
        <v>170</v>
      </c>
      <c r="DZ1" s="28" t="s">
        <v>171</v>
      </c>
      <c r="EA1" s="31" t="s">
        <v>172</v>
      </c>
      <c r="EB1" s="30" t="s">
        <v>173</v>
      </c>
      <c r="EC1" s="30" t="s">
        <v>174</v>
      </c>
      <c r="ED1" s="30" t="s">
        <v>175</v>
      </c>
      <c r="EE1" s="30" t="s">
        <v>176</v>
      </c>
      <c r="EF1" s="32" t="s">
        <v>177</v>
      </c>
      <c r="EG1" s="31" t="s">
        <v>178</v>
      </c>
      <c r="EH1" s="30" t="s">
        <v>179</v>
      </c>
      <c r="EI1" s="30" t="s">
        <v>180</v>
      </c>
      <c r="EJ1" s="30" t="s">
        <v>181</v>
      </c>
      <c r="EK1" s="30" t="s">
        <v>182</v>
      </c>
      <c r="EL1" s="32" t="s">
        <v>183</v>
      </c>
      <c r="EM1" s="31" t="s">
        <v>184</v>
      </c>
      <c r="EN1" s="30" t="s">
        <v>185</v>
      </c>
      <c r="EO1" s="30" t="s">
        <v>186</v>
      </c>
      <c r="EP1" s="30" t="s">
        <v>187</v>
      </c>
      <c r="EQ1" s="30" t="s">
        <v>188</v>
      </c>
      <c r="ER1" s="32" t="s">
        <v>189</v>
      </c>
      <c r="ES1" s="31" t="s">
        <v>190</v>
      </c>
      <c r="ET1" s="30" t="s">
        <v>191</v>
      </c>
      <c r="EU1" s="30" t="s">
        <v>192</v>
      </c>
      <c r="EV1" s="30" t="s">
        <v>193</v>
      </c>
      <c r="EW1" s="30" t="s">
        <v>194</v>
      </c>
      <c r="EX1" s="32" t="s">
        <v>195</v>
      </c>
      <c r="EY1" s="31" t="s">
        <v>196</v>
      </c>
      <c r="EZ1" s="30" t="s">
        <v>197</v>
      </c>
      <c r="FA1" s="30" t="s">
        <v>198</v>
      </c>
      <c r="FB1" s="30" t="s">
        <v>199</v>
      </c>
      <c r="FC1" s="30" t="s">
        <v>200</v>
      </c>
      <c r="FD1" s="32" t="s">
        <v>201</v>
      </c>
      <c r="FE1" s="31" t="s">
        <v>202</v>
      </c>
      <c r="FF1" s="30" t="s">
        <v>203</v>
      </c>
      <c r="FG1" s="30" t="s">
        <v>204</v>
      </c>
      <c r="FH1" s="30" t="s">
        <v>205</v>
      </c>
      <c r="FI1" s="32" t="s">
        <v>206</v>
      </c>
      <c r="FJ1" s="31" t="s">
        <v>207</v>
      </c>
      <c r="FK1" s="30" t="s">
        <v>208</v>
      </c>
      <c r="FL1" s="30" t="s">
        <v>209</v>
      </c>
      <c r="FM1" s="30" t="s">
        <v>210</v>
      </c>
      <c r="FN1" s="30" t="s">
        <v>211</v>
      </c>
      <c r="FO1" s="32" t="s">
        <v>212</v>
      </c>
      <c r="FP1" s="31" t="s">
        <v>213</v>
      </c>
      <c r="FQ1" s="30" t="s">
        <v>214</v>
      </c>
      <c r="FR1" s="30" t="s">
        <v>215</v>
      </c>
      <c r="FS1" s="30" t="s">
        <v>216</v>
      </c>
      <c r="FT1" s="30" t="s">
        <v>217</v>
      </c>
      <c r="FU1" s="32" t="s">
        <v>218</v>
      </c>
      <c r="FV1" s="31" t="s">
        <v>219</v>
      </c>
      <c r="FW1" s="30" t="s">
        <v>220</v>
      </c>
      <c r="FX1" s="30" t="s">
        <v>221</v>
      </c>
      <c r="FY1" s="30" t="s">
        <v>222</v>
      </c>
      <c r="FZ1" s="30" t="s">
        <v>223</v>
      </c>
      <c r="GA1" s="32" t="s">
        <v>224</v>
      </c>
      <c r="GB1" s="31" t="s">
        <v>225</v>
      </c>
      <c r="GC1" s="31" t="s">
        <v>226</v>
      </c>
      <c r="GD1" s="31" t="s">
        <v>227</v>
      </c>
      <c r="GE1" s="30" t="s">
        <v>228</v>
      </c>
      <c r="GF1" s="31" t="s">
        <v>229</v>
      </c>
      <c r="GG1" s="32" t="s">
        <v>230</v>
      </c>
      <c r="GH1" s="31" t="s">
        <v>231</v>
      </c>
      <c r="GI1" s="31" t="s">
        <v>232</v>
      </c>
      <c r="GJ1" s="31" t="s">
        <v>233</v>
      </c>
      <c r="GK1" s="30" t="s">
        <v>234</v>
      </c>
      <c r="GL1" s="31" t="s">
        <v>235</v>
      </c>
      <c r="GM1" s="32" t="s">
        <v>236</v>
      </c>
      <c r="GN1" s="31" t="s">
        <v>237</v>
      </c>
      <c r="GO1" s="31" t="s">
        <v>238</v>
      </c>
      <c r="GP1" s="31" t="s">
        <v>239</v>
      </c>
      <c r="GQ1" s="30" t="s">
        <v>240</v>
      </c>
      <c r="GR1" s="31" t="s">
        <v>241</v>
      </c>
      <c r="GS1" s="32" t="s">
        <v>242</v>
      </c>
      <c r="GT1" s="31" t="s">
        <v>243</v>
      </c>
      <c r="GU1" s="28" t="s">
        <v>35</v>
      </c>
      <c r="GV1" s="29" t="s">
        <v>244</v>
      </c>
      <c r="GW1" s="30" t="s">
        <v>245</v>
      </c>
      <c r="GX1" s="28" t="s">
        <v>34</v>
      </c>
      <c r="GY1" s="29" t="s">
        <v>246</v>
      </c>
      <c r="GZ1" s="31" t="s">
        <v>247</v>
      </c>
      <c r="HA1" s="28" t="s">
        <v>248</v>
      </c>
      <c r="HB1" s="29" t="s">
        <v>249</v>
      </c>
      <c r="HC1" s="30" t="s">
        <v>250</v>
      </c>
      <c r="HD1" s="28" t="s">
        <v>251</v>
      </c>
      <c r="HE1" s="29" t="s">
        <v>252</v>
      </c>
      <c r="HF1" s="31" t="s">
        <v>253</v>
      </c>
      <c r="HG1" s="28" t="s">
        <v>254</v>
      </c>
      <c r="HH1" s="29" t="s">
        <v>255</v>
      </c>
      <c r="HI1" s="30" t="s">
        <v>256</v>
      </c>
      <c r="HJ1" s="28" t="s">
        <v>257</v>
      </c>
      <c r="HK1" s="29" t="s">
        <v>258</v>
      </c>
      <c r="HL1" s="31" t="s">
        <v>259</v>
      </c>
      <c r="HM1" s="28" t="s">
        <v>260</v>
      </c>
      <c r="HN1" s="29" t="s">
        <v>261</v>
      </c>
      <c r="HO1" s="30" t="s">
        <v>262</v>
      </c>
      <c r="HP1" s="28" t="s">
        <v>263</v>
      </c>
      <c r="HQ1" s="29" t="s">
        <v>264</v>
      </c>
      <c r="HR1" s="31" t="s">
        <v>265</v>
      </c>
      <c r="HS1" s="28" t="s">
        <v>266</v>
      </c>
      <c r="HT1" s="29" t="s">
        <v>267</v>
      </c>
      <c r="HU1" s="30" t="s">
        <v>268</v>
      </c>
      <c r="HV1" s="28" t="s">
        <v>269</v>
      </c>
      <c r="HW1" s="29" t="s">
        <v>270</v>
      </c>
      <c r="HX1" s="31" t="s">
        <v>271</v>
      </c>
      <c r="HY1" s="28" t="s">
        <v>272</v>
      </c>
      <c r="HZ1" s="29" t="s">
        <v>273</v>
      </c>
      <c r="IA1" s="30" t="s">
        <v>274</v>
      </c>
      <c r="IB1" s="28" t="s">
        <v>275</v>
      </c>
      <c r="IC1" s="29" t="s">
        <v>276</v>
      </c>
      <c r="ID1" s="31" t="s">
        <v>277</v>
      </c>
      <c r="IE1" s="28" t="s">
        <v>278</v>
      </c>
      <c r="IF1" s="29" t="s">
        <v>279</v>
      </c>
      <c r="IG1" s="30" t="s">
        <v>280</v>
      </c>
      <c r="IH1" s="28" t="s">
        <v>281</v>
      </c>
      <c r="II1" s="29" t="s">
        <v>282</v>
      </c>
      <c r="IJ1" s="31" t="s">
        <v>283</v>
      </c>
      <c r="IK1" s="28" t="s">
        <v>284</v>
      </c>
      <c r="IL1" s="29" t="s">
        <v>285</v>
      </c>
      <c r="IM1" s="30" t="s">
        <v>286</v>
      </c>
      <c r="IN1" s="28" t="s">
        <v>287</v>
      </c>
      <c r="IO1" s="29" t="s">
        <v>288</v>
      </c>
      <c r="IP1" s="31" t="s">
        <v>289</v>
      </c>
      <c r="IQ1" s="28" t="s">
        <v>290</v>
      </c>
      <c r="IR1" s="29" t="s">
        <v>291</v>
      </c>
      <c r="IS1" s="30" t="s">
        <v>292</v>
      </c>
      <c r="IT1" s="28" t="s">
        <v>293</v>
      </c>
      <c r="IU1" s="29" t="s">
        <v>294</v>
      </c>
      <c r="IV1" s="31" t="s">
        <v>295</v>
      </c>
      <c r="IW1" s="28" t="s">
        <v>296</v>
      </c>
      <c r="IX1" s="29" t="s">
        <v>297</v>
      </c>
      <c r="IY1" s="30" t="s">
        <v>298</v>
      </c>
      <c r="IZ1" s="28" t="s">
        <v>299</v>
      </c>
      <c r="JA1" s="29" t="s">
        <v>300</v>
      </c>
      <c r="JB1" s="31" t="s">
        <v>301</v>
      </c>
      <c r="JC1" s="28" t="s">
        <v>302</v>
      </c>
      <c r="JD1" s="29" t="s">
        <v>303</v>
      </c>
      <c r="JE1" s="30" t="s">
        <v>304</v>
      </c>
      <c r="JF1" s="28" t="s">
        <v>305</v>
      </c>
      <c r="JG1" s="29" t="s">
        <v>306</v>
      </c>
      <c r="JH1" s="31" t="s">
        <v>307</v>
      </c>
      <c r="JI1" s="28" t="s">
        <v>308</v>
      </c>
      <c r="JJ1" s="29" t="s">
        <v>309</v>
      </c>
      <c r="JK1" s="30" t="s">
        <v>2</v>
      </c>
      <c r="JL1" s="28" t="s">
        <v>310</v>
      </c>
      <c r="JM1" s="29" t="s">
        <v>311</v>
      </c>
      <c r="JN1" s="31" t="s">
        <v>312</v>
      </c>
      <c r="JO1" s="30" t="s">
        <v>313</v>
      </c>
      <c r="JP1" s="30" t="s">
        <v>314</v>
      </c>
      <c r="JQ1" s="30" t="s">
        <v>315</v>
      </c>
      <c r="JR1" s="30" t="s">
        <v>316</v>
      </c>
      <c r="JS1" s="32" t="s">
        <v>317</v>
      </c>
      <c r="JT1" s="31" t="s">
        <v>318</v>
      </c>
      <c r="JU1" s="30" t="s">
        <v>319</v>
      </c>
      <c r="JV1" s="30" t="s">
        <v>320</v>
      </c>
      <c r="JW1" s="30" t="s">
        <v>3</v>
      </c>
      <c r="JX1" s="30" t="s">
        <v>321</v>
      </c>
      <c r="JY1" s="32" t="s">
        <v>322</v>
      </c>
      <c r="JZ1" s="31" t="s">
        <v>323</v>
      </c>
      <c r="KA1" s="30" t="s">
        <v>324</v>
      </c>
      <c r="KB1" s="30" t="s">
        <v>325</v>
      </c>
      <c r="KC1" s="30" t="s">
        <v>326</v>
      </c>
      <c r="KD1" s="30" t="s">
        <v>327</v>
      </c>
      <c r="KE1" s="32" t="s">
        <v>328</v>
      </c>
      <c r="KF1" s="31" t="s">
        <v>329</v>
      </c>
      <c r="KG1" s="31" t="s">
        <v>330</v>
      </c>
      <c r="KH1" s="31" t="s">
        <v>331</v>
      </c>
      <c r="KI1" s="30" t="s">
        <v>332</v>
      </c>
      <c r="KJ1" s="31" t="s">
        <v>333</v>
      </c>
      <c r="KK1" s="32" t="s">
        <v>334</v>
      </c>
      <c r="KL1" s="31" t="s">
        <v>335</v>
      </c>
      <c r="KM1" s="31" t="s">
        <v>336</v>
      </c>
      <c r="KN1" s="31" t="s">
        <v>337</v>
      </c>
      <c r="KO1" s="30" t="s">
        <v>338</v>
      </c>
      <c r="KP1" s="31" t="s">
        <v>339</v>
      </c>
      <c r="KQ1" s="32" t="s">
        <v>340</v>
      </c>
      <c r="KR1" s="31" t="s">
        <v>341</v>
      </c>
      <c r="KS1" s="31" t="s">
        <v>342</v>
      </c>
      <c r="KT1" s="31" t="s">
        <v>343</v>
      </c>
      <c r="KU1" s="30" t="s">
        <v>344</v>
      </c>
      <c r="KV1" s="31" t="s">
        <v>345</v>
      </c>
      <c r="KW1" s="32" t="s">
        <v>346</v>
      </c>
      <c r="KX1" s="31" t="s">
        <v>347</v>
      </c>
      <c r="KY1" s="31" t="s">
        <v>22</v>
      </c>
      <c r="KZ1" s="31" t="s">
        <v>348</v>
      </c>
      <c r="LA1" s="31" t="s">
        <v>23</v>
      </c>
      <c r="LB1" s="32" t="s">
        <v>44</v>
      </c>
      <c r="LC1" s="31" t="s">
        <v>349</v>
      </c>
      <c r="LD1" s="31" t="s">
        <v>350</v>
      </c>
      <c r="LE1" s="31" t="s">
        <v>351</v>
      </c>
      <c r="LF1" s="31" t="s">
        <v>352</v>
      </c>
      <c r="LG1" s="32" t="s">
        <v>353</v>
      </c>
      <c r="LH1" s="31" t="s">
        <v>354</v>
      </c>
      <c r="LI1" s="31" t="s">
        <v>355</v>
      </c>
      <c r="LJ1" s="31" t="s">
        <v>356</v>
      </c>
      <c r="LK1" s="31" t="s">
        <v>357</v>
      </c>
      <c r="LL1" s="32" t="s">
        <v>358</v>
      </c>
      <c r="LM1" s="31" t="s">
        <v>359</v>
      </c>
      <c r="LN1" s="33" t="s">
        <v>360</v>
      </c>
      <c r="LO1" s="33" t="s">
        <v>361</v>
      </c>
      <c r="LP1" s="33" t="s">
        <v>362</v>
      </c>
      <c r="LQ1" s="32" t="s">
        <v>363</v>
      </c>
      <c r="LR1" s="31" t="s">
        <v>364</v>
      </c>
      <c r="LS1" s="33" t="s">
        <v>365</v>
      </c>
      <c r="LT1" s="33" t="s">
        <v>366</v>
      </c>
      <c r="LU1" s="30" t="s">
        <v>367</v>
      </c>
      <c r="LV1" s="33" t="s">
        <v>368</v>
      </c>
      <c r="LW1" s="32" t="s">
        <v>369</v>
      </c>
      <c r="LX1" s="31" t="s">
        <v>370</v>
      </c>
      <c r="LY1" s="33" t="s">
        <v>371</v>
      </c>
      <c r="LZ1" s="33" t="s">
        <v>372</v>
      </c>
      <c r="MA1" s="30" t="s">
        <v>373</v>
      </c>
      <c r="MB1" s="33" t="s">
        <v>374</v>
      </c>
      <c r="MC1" s="32" t="s">
        <v>375</v>
      </c>
      <c r="MD1" s="31" t="s">
        <v>376</v>
      </c>
      <c r="ME1" s="33" t="s">
        <v>377</v>
      </c>
      <c r="MF1" s="33" t="s">
        <v>378</v>
      </c>
      <c r="MG1" s="30" t="s">
        <v>379</v>
      </c>
      <c r="MH1" s="33" t="s">
        <v>380</v>
      </c>
      <c r="MI1" s="32" t="s">
        <v>381</v>
      </c>
      <c r="MJ1" s="31" t="s">
        <v>382</v>
      </c>
      <c r="MK1" s="30" t="s">
        <v>383</v>
      </c>
      <c r="ML1" s="30" t="s">
        <v>384</v>
      </c>
      <c r="MM1" s="30" t="s">
        <v>385</v>
      </c>
      <c r="MN1" s="30" t="s">
        <v>386</v>
      </c>
      <c r="MO1" s="30" t="s">
        <v>387</v>
      </c>
      <c r="MP1" s="30" t="s">
        <v>388</v>
      </c>
      <c r="MQ1" s="30" t="s">
        <v>389</v>
      </c>
      <c r="MR1" s="30" t="s">
        <v>390</v>
      </c>
      <c r="MS1" s="30" t="s">
        <v>391</v>
      </c>
      <c r="MT1" s="31" t="s">
        <v>392</v>
      </c>
      <c r="MU1" s="31" t="s">
        <v>393</v>
      </c>
      <c r="MV1" s="30" t="s">
        <v>394</v>
      </c>
      <c r="MW1" s="31" t="s">
        <v>395</v>
      </c>
      <c r="MX1" s="32" t="s">
        <v>396</v>
      </c>
      <c r="MY1" s="31" t="s">
        <v>397</v>
      </c>
      <c r="MZ1" s="31" t="s">
        <v>398</v>
      </c>
      <c r="NA1" s="30" t="s">
        <v>399</v>
      </c>
      <c r="NB1" s="31" t="s">
        <v>400</v>
      </c>
      <c r="NC1" s="32" t="s">
        <v>401</v>
      </c>
      <c r="ND1" s="31" t="s">
        <v>402</v>
      </c>
      <c r="NE1" s="31" t="s">
        <v>403</v>
      </c>
      <c r="NF1" s="30" t="s">
        <v>404</v>
      </c>
      <c r="NG1" s="31" t="s">
        <v>405</v>
      </c>
      <c r="NH1" s="32" t="s">
        <v>406</v>
      </c>
      <c r="NI1" s="30" t="s">
        <v>39</v>
      </c>
      <c r="NJ1" s="30" t="s">
        <v>4</v>
      </c>
      <c r="NK1" s="30" t="s">
        <v>407</v>
      </c>
      <c r="NL1" s="30" t="s">
        <v>5</v>
      </c>
      <c r="NM1" s="32" t="s">
        <v>6</v>
      </c>
      <c r="NN1" s="31" t="s">
        <v>408</v>
      </c>
      <c r="NO1" s="30" t="s">
        <v>409</v>
      </c>
      <c r="NP1" s="30" t="s">
        <v>410</v>
      </c>
      <c r="NQ1" s="30" t="s">
        <v>411</v>
      </c>
      <c r="NR1" s="30" t="s">
        <v>412</v>
      </c>
      <c r="NS1" s="32" t="s">
        <v>413</v>
      </c>
      <c r="NT1" s="31" t="s">
        <v>414</v>
      </c>
      <c r="NU1" s="30" t="s">
        <v>415</v>
      </c>
      <c r="NV1" s="30" t="s">
        <v>416</v>
      </c>
      <c r="NW1" s="30" t="s">
        <v>417</v>
      </c>
      <c r="NX1" s="30" t="s">
        <v>418</v>
      </c>
      <c r="NY1" s="32" t="s">
        <v>419</v>
      </c>
      <c r="NZ1" s="31" t="s">
        <v>420</v>
      </c>
      <c r="OA1" s="30" t="s">
        <v>421</v>
      </c>
      <c r="OB1" s="30" t="s">
        <v>422</v>
      </c>
      <c r="OC1" s="30" t="s">
        <v>423</v>
      </c>
      <c r="OD1" s="30" t="s">
        <v>424</v>
      </c>
      <c r="OE1" s="32" t="s">
        <v>425</v>
      </c>
      <c r="OF1" s="31" t="s">
        <v>426</v>
      </c>
      <c r="OG1" s="30" t="s">
        <v>427</v>
      </c>
      <c r="OH1" s="30" t="s">
        <v>428</v>
      </c>
      <c r="OI1" s="30" t="s">
        <v>429</v>
      </c>
      <c r="OJ1" s="30" t="s">
        <v>430</v>
      </c>
      <c r="OK1" s="32" t="s">
        <v>431</v>
      </c>
      <c r="OL1" s="31" t="s">
        <v>432</v>
      </c>
      <c r="OM1" s="30" t="s">
        <v>433</v>
      </c>
      <c r="ON1" s="30" t="s">
        <v>434</v>
      </c>
      <c r="OO1" s="30" t="s">
        <v>435</v>
      </c>
      <c r="OP1" s="30" t="s">
        <v>436</v>
      </c>
      <c r="OQ1" s="32" t="s">
        <v>437</v>
      </c>
      <c r="OR1" s="31" t="s">
        <v>438</v>
      </c>
      <c r="OS1" s="33" t="s">
        <v>439</v>
      </c>
      <c r="OT1" s="33" t="s">
        <v>440</v>
      </c>
      <c r="OU1" s="30" t="s">
        <v>441</v>
      </c>
      <c r="OV1" s="33" t="s">
        <v>442</v>
      </c>
      <c r="OW1" s="32" t="s">
        <v>443</v>
      </c>
      <c r="OX1" s="31" t="s">
        <v>444</v>
      </c>
      <c r="OY1" s="33" t="s">
        <v>445</v>
      </c>
      <c r="OZ1" s="33" t="s">
        <v>446</v>
      </c>
      <c r="PA1" s="30" t="s">
        <v>447</v>
      </c>
      <c r="PB1" s="33" t="s">
        <v>448</v>
      </c>
      <c r="PC1" s="32" t="s">
        <v>449</v>
      </c>
      <c r="PD1" s="31" t="s">
        <v>450</v>
      </c>
      <c r="PE1" s="33" t="s">
        <v>451</v>
      </c>
      <c r="PF1" s="33" t="s">
        <v>452</v>
      </c>
      <c r="PG1" s="30" t="s">
        <v>453</v>
      </c>
      <c r="PH1" s="33" t="s">
        <v>454</v>
      </c>
      <c r="PI1" s="32" t="s">
        <v>455</v>
      </c>
      <c r="PJ1" s="31" t="s">
        <v>456</v>
      </c>
      <c r="PK1" s="30" t="s">
        <v>457</v>
      </c>
      <c r="PL1" s="30" t="s">
        <v>458</v>
      </c>
      <c r="PM1" s="30" t="s">
        <v>459</v>
      </c>
      <c r="PN1" s="30" t="s">
        <v>460</v>
      </c>
      <c r="PO1" s="32" t="s">
        <v>461</v>
      </c>
      <c r="PP1" s="31" t="s">
        <v>462</v>
      </c>
      <c r="PQ1" s="33" t="s">
        <v>463</v>
      </c>
      <c r="PR1" s="33" t="s">
        <v>464</v>
      </c>
      <c r="PS1" s="30" t="s">
        <v>465</v>
      </c>
      <c r="PT1" s="33" t="s">
        <v>466</v>
      </c>
      <c r="PU1" s="32" t="s">
        <v>467</v>
      </c>
      <c r="PV1" s="31" t="s">
        <v>468</v>
      </c>
      <c r="PW1" s="31" t="s">
        <v>469</v>
      </c>
      <c r="PX1" s="31" t="s">
        <v>470</v>
      </c>
      <c r="PY1" s="30" t="s">
        <v>471</v>
      </c>
      <c r="PZ1" s="31" t="s">
        <v>472</v>
      </c>
      <c r="QA1" s="32" t="s">
        <v>473</v>
      </c>
      <c r="QB1" s="31" t="s">
        <v>474</v>
      </c>
      <c r="QC1" s="31" t="s">
        <v>475</v>
      </c>
      <c r="QD1" s="31" t="s">
        <v>476</v>
      </c>
      <c r="QE1" s="30" t="s">
        <v>477</v>
      </c>
      <c r="QF1" s="31" t="s">
        <v>478</v>
      </c>
      <c r="QG1" s="32" t="s">
        <v>479</v>
      </c>
      <c r="QH1" s="31" t="s">
        <v>480</v>
      </c>
      <c r="QI1" s="31" t="s">
        <v>481</v>
      </c>
      <c r="QJ1" s="31" t="s">
        <v>482</v>
      </c>
      <c r="QK1" s="30" t="s">
        <v>483</v>
      </c>
      <c r="QL1" s="31" t="s">
        <v>484</v>
      </c>
      <c r="QM1" s="32" t="s">
        <v>485</v>
      </c>
      <c r="QN1" s="31" t="s">
        <v>486</v>
      </c>
      <c r="QO1" s="31" t="s">
        <v>487</v>
      </c>
      <c r="QP1" s="31" t="s">
        <v>488</v>
      </c>
      <c r="QQ1" s="30" t="s">
        <v>489</v>
      </c>
      <c r="QR1" s="31" t="s">
        <v>490</v>
      </c>
      <c r="QS1" s="32" t="s">
        <v>491</v>
      </c>
      <c r="QT1" s="31" t="s">
        <v>492</v>
      </c>
      <c r="QU1" s="31" t="s">
        <v>493</v>
      </c>
      <c r="QV1" s="31" t="s">
        <v>494</v>
      </c>
      <c r="QW1" s="30" t="s">
        <v>495</v>
      </c>
      <c r="QX1" s="31" t="s">
        <v>496</v>
      </c>
      <c r="QY1" s="32" t="s">
        <v>497</v>
      </c>
      <c r="QZ1" s="31" t="s">
        <v>498</v>
      </c>
      <c r="RA1" s="31" t="s">
        <v>499</v>
      </c>
      <c r="RB1" s="31" t="s">
        <v>500</v>
      </c>
      <c r="RC1" s="30" t="s">
        <v>501</v>
      </c>
      <c r="RD1" s="31" t="s">
        <v>502</v>
      </c>
      <c r="RE1" s="32" t="s">
        <v>503</v>
      </c>
      <c r="RF1" s="31" t="s">
        <v>504</v>
      </c>
    </row>
    <row r="2" spans="1:474" x14ac:dyDescent="0.25">
      <c r="A2" s="1" t="s">
        <v>505</v>
      </c>
      <c r="B2" s="1" t="s">
        <v>506</v>
      </c>
      <c r="C2" s="34">
        <v>7.3290800000000003E-2</v>
      </c>
      <c r="D2" s="35">
        <v>0.17571999999999999</v>
      </c>
      <c r="E2" s="36"/>
      <c r="F2" s="34">
        <v>7.5048000000000004E-2</v>
      </c>
      <c r="G2" s="35">
        <v>0.17571999999999999</v>
      </c>
      <c r="H2" s="37">
        <v>111.78521000000001</v>
      </c>
      <c r="I2" s="37">
        <v>429</v>
      </c>
      <c r="J2" s="37">
        <v>-13</v>
      </c>
      <c r="K2" s="36">
        <v>0</v>
      </c>
      <c r="L2" s="37">
        <v>416</v>
      </c>
      <c r="M2" s="38">
        <v>-3.0303E-2</v>
      </c>
      <c r="N2" s="37">
        <v>100.4662</v>
      </c>
      <c r="O2" s="37">
        <v>431</v>
      </c>
      <c r="P2" s="37">
        <v>-15</v>
      </c>
      <c r="Q2" s="36"/>
      <c r="R2" s="37">
        <v>416</v>
      </c>
      <c r="S2" s="38">
        <v>-3.4802800000000002E-2</v>
      </c>
      <c r="T2" s="37">
        <v>100</v>
      </c>
      <c r="U2" s="37">
        <v>431</v>
      </c>
      <c r="V2" s="37">
        <v>-15</v>
      </c>
      <c r="W2" s="36"/>
      <c r="X2" s="37">
        <v>416</v>
      </c>
      <c r="Y2" s="38">
        <v>-3.4802800000000002E-2</v>
      </c>
      <c r="Z2" s="37">
        <v>100</v>
      </c>
      <c r="AA2" s="37">
        <v>82507</v>
      </c>
      <c r="AB2" s="37">
        <v>14964</v>
      </c>
      <c r="AC2" s="36">
        <v>291706131.52310002</v>
      </c>
      <c r="AD2" s="37">
        <v>97471</v>
      </c>
      <c r="AE2" s="38">
        <v>0.18136640000000001</v>
      </c>
      <c r="AF2" s="37">
        <v>133.45281</v>
      </c>
      <c r="AG2" s="37">
        <v>3392279</v>
      </c>
      <c r="AH2" s="37">
        <v>-144181</v>
      </c>
      <c r="AI2" s="36">
        <v>-76014613.606089994</v>
      </c>
      <c r="AJ2" s="37">
        <v>3248098</v>
      </c>
      <c r="AK2" s="38">
        <v>-4.2502700000000004E-2</v>
      </c>
      <c r="AL2" s="37">
        <v>100</v>
      </c>
      <c r="AM2" s="36">
        <v>12374970.654689999</v>
      </c>
      <c r="AN2" s="38">
        <v>6.3480000000000003E-3</v>
      </c>
      <c r="AO2" s="36">
        <v>2480695.10378</v>
      </c>
      <c r="AP2" s="38">
        <v>1.4537E-3</v>
      </c>
      <c r="AQ2" s="36">
        <v>16865682.500980001</v>
      </c>
      <c r="AR2" s="38">
        <v>7.0461400000000007E-2</v>
      </c>
      <c r="AS2" s="36">
        <v>304090</v>
      </c>
      <c r="AT2" s="36">
        <v>-304090</v>
      </c>
      <c r="AU2" s="36">
        <v>-304090</v>
      </c>
      <c r="AV2" s="36">
        <v>218120</v>
      </c>
      <c r="AW2" s="36">
        <v>-218120</v>
      </c>
      <c r="AX2" s="36">
        <v>-218120</v>
      </c>
      <c r="AY2" s="36">
        <v>109520</v>
      </c>
      <c r="AZ2" s="36">
        <v>-109520</v>
      </c>
      <c r="BA2" s="36">
        <v>-109520</v>
      </c>
      <c r="BB2" s="36">
        <v>-70286067.330630004</v>
      </c>
      <c r="BC2" s="34">
        <v>-3.5302399999999998E-2</v>
      </c>
      <c r="BD2" s="36">
        <v>-58193310.22766</v>
      </c>
      <c r="BE2" s="34">
        <v>-3.3501599999999999E-2</v>
      </c>
      <c r="BF2" s="36">
        <v>-18001966.513640001</v>
      </c>
      <c r="BG2" s="34">
        <v>-7.0098999999999995E-2</v>
      </c>
      <c r="BH2" s="34">
        <v>0.99265000000000003</v>
      </c>
      <c r="BI2" s="35">
        <v>-0.34799999999999998</v>
      </c>
      <c r="BJ2" s="36"/>
      <c r="BK2" s="34">
        <v>0.98915999999999993</v>
      </c>
      <c r="BL2" s="35">
        <v>-0.34799999999999998</v>
      </c>
      <c r="BM2" s="37"/>
      <c r="BN2" s="39">
        <v>1.0880000000000001</v>
      </c>
      <c r="BO2" s="39">
        <v>3.8400000000000001E-3</v>
      </c>
      <c r="BP2" s="36">
        <v>6163086.6787</v>
      </c>
      <c r="BQ2" s="39">
        <v>1.0918399999999999</v>
      </c>
      <c r="BR2" s="38">
        <v>3.5276000000000001E-3</v>
      </c>
      <c r="BS2" s="37">
        <v>101.60892</v>
      </c>
      <c r="BT2" s="36">
        <v>53467583.090000004</v>
      </c>
      <c r="BU2" s="36">
        <v>5385435.9199999999</v>
      </c>
      <c r="BV2" s="36"/>
      <c r="BW2" s="36">
        <v>48346884.090000004</v>
      </c>
      <c r="BX2" s="36">
        <v>4298916.92</v>
      </c>
      <c r="BY2" s="36"/>
      <c r="BZ2" s="36">
        <v>52645801.009999998</v>
      </c>
      <c r="CA2" s="34">
        <v>8.8918199999999989E-2</v>
      </c>
      <c r="CB2" s="37"/>
      <c r="CC2" s="36">
        <v>5120699</v>
      </c>
      <c r="CD2" s="36">
        <v>1086519</v>
      </c>
      <c r="CE2" s="36"/>
      <c r="CF2" s="36">
        <v>6207218</v>
      </c>
      <c r="CG2" s="34">
        <v>0.2121818</v>
      </c>
      <c r="CH2" s="37"/>
      <c r="CI2" s="36">
        <v>58853019.009999998</v>
      </c>
      <c r="CJ2" s="34">
        <v>0.1007234</v>
      </c>
      <c r="CK2" s="37"/>
      <c r="CL2" s="36">
        <v>485.43786999999998</v>
      </c>
      <c r="CM2" s="36">
        <v>-33.681449999999998</v>
      </c>
      <c r="CN2" s="36"/>
      <c r="CO2" s="36">
        <v>538.57592999999997</v>
      </c>
      <c r="CP2" s="36">
        <v>-43.891500000000001</v>
      </c>
      <c r="CQ2" s="36"/>
      <c r="CR2" s="36">
        <v>494.68443000000002</v>
      </c>
      <c r="CS2" s="38">
        <v>-8.1495499999999998E-2</v>
      </c>
      <c r="CT2" s="37"/>
      <c r="CU2" s="36">
        <v>251.32265000000001</v>
      </c>
      <c r="CV2" s="36">
        <v>8.9053299999999993</v>
      </c>
      <c r="CW2" s="36"/>
      <c r="CX2" s="36">
        <v>260.22798</v>
      </c>
      <c r="CY2" s="38">
        <v>3.5433899999999997E-2</v>
      </c>
      <c r="CZ2" s="37"/>
      <c r="DA2" s="36">
        <v>451.75641999999999</v>
      </c>
      <c r="DB2" s="38">
        <v>-6.9383600000000004E-2</v>
      </c>
      <c r="DC2" s="37"/>
      <c r="DD2" s="36">
        <v>320644.27082999999</v>
      </c>
      <c r="DE2" s="36">
        <v>1873.35798</v>
      </c>
      <c r="DF2" s="36"/>
      <c r="DG2" s="36">
        <v>322517.62881000002</v>
      </c>
      <c r="DH2" s="38">
        <v>5.8425000000000005E-3</v>
      </c>
      <c r="DI2" s="37"/>
      <c r="DJ2" s="36">
        <v>178151.72094</v>
      </c>
      <c r="DK2" s="36">
        <v>6106.4889199999998</v>
      </c>
      <c r="DL2" s="36"/>
      <c r="DM2" s="36">
        <v>184258.20986</v>
      </c>
      <c r="DN2" s="38">
        <v>3.4276899999999999E-2</v>
      </c>
      <c r="DO2" s="37"/>
      <c r="DP2" s="36">
        <v>294285.03143999999</v>
      </c>
      <c r="DQ2" s="36">
        <v>2917.86618</v>
      </c>
      <c r="DR2" s="36"/>
      <c r="DS2" s="36">
        <v>297202.89762</v>
      </c>
      <c r="DT2" s="38">
        <v>9.9150999999999996E-3</v>
      </c>
      <c r="DU2" s="37"/>
      <c r="DV2" s="36">
        <v>585.97311999999999</v>
      </c>
      <c r="DW2" s="36">
        <v>-45.855530000000002</v>
      </c>
      <c r="DX2" s="36"/>
      <c r="DY2" s="36">
        <v>540.11757999999998</v>
      </c>
      <c r="DZ2" s="34">
        <v>-7.8255400000000003E-2</v>
      </c>
      <c r="EA2" s="37"/>
      <c r="EB2" s="36">
        <v>348862.45899000001</v>
      </c>
      <c r="EC2" s="36">
        <v>3276.0602699999999</v>
      </c>
      <c r="ED2" s="36"/>
      <c r="EE2" s="36">
        <v>352138.51925999997</v>
      </c>
      <c r="EF2" s="38">
        <v>9.3907000000000001E-3</v>
      </c>
      <c r="EG2" s="37"/>
      <c r="EH2" s="36">
        <v>28783594903.68</v>
      </c>
      <c r="EI2" s="36">
        <v>5539698706.8199997</v>
      </c>
      <c r="EJ2" s="36"/>
      <c r="EK2" s="36">
        <v>34323293610.5</v>
      </c>
      <c r="EL2" s="38">
        <v>0.1924603</v>
      </c>
      <c r="EM2" s="37"/>
      <c r="EN2" s="36">
        <v>3629841314.1799998</v>
      </c>
      <c r="EO2" s="36">
        <v>765269765.72000003</v>
      </c>
      <c r="EP2" s="36"/>
      <c r="EQ2" s="36">
        <v>4395111079.8999996</v>
      </c>
      <c r="ER2" s="38">
        <v>0.21082730000000002</v>
      </c>
      <c r="ES2" s="37"/>
      <c r="ET2" s="36">
        <v>32413436217.860001</v>
      </c>
      <c r="EU2" s="36">
        <v>6304968472.54</v>
      </c>
      <c r="EV2" s="36"/>
      <c r="EW2" s="36">
        <v>38718404690.400002</v>
      </c>
      <c r="EX2" s="38">
        <v>0.1945171</v>
      </c>
      <c r="EY2" s="37"/>
      <c r="EZ2" s="36">
        <v>19633.346860000001</v>
      </c>
      <c r="FA2" s="36">
        <v>-270.82596999999998</v>
      </c>
      <c r="FB2" s="36">
        <v>-24310407.5931</v>
      </c>
      <c r="FC2" s="36">
        <v>19362.52089</v>
      </c>
      <c r="FD2" s="38">
        <v>-1.3794200000000001E-2</v>
      </c>
      <c r="FE2" s="37">
        <v>85.969809999999995</v>
      </c>
      <c r="FF2" s="36">
        <v>22885.09304</v>
      </c>
      <c r="FG2" s="36">
        <v>-1082.1474599999999</v>
      </c>
      <c r="FH2" s="36">
        <v>21802.94558</v>
      </c>
      <c r="FI2" s="38">
        <v>-4.7286099999999998E-2</v>
      </c>
      <c r="FJ2" s="37">
        <v>86.222179999999994</v>
      </c>
      <c r="FK2" s="36">
        <v>16748.71067</v>
      </c>
      <c r="FL2" s="36">
        <v>-55.49953</v>
      </c>
      <c r="FM2" s="36">
        <v>-6655637.8476099996</v>
      </c>
      <c r="FN2" s="36">
        <v>16693.211139999999</v>
      </c>
      <c r="FO2" s="38">
        <v>-3.3137000000000002E-3</v>
      </c>
      <c r="FP2" s="37">
        <v>84.67013</v>
      </c>
      <c r="FQ2" s="36">
        <v>18045.27838</v>
      </c>
      <c r="FR2" s="36">
        <v>-311.47766000000001</v>
      </c>
      <c r="FS2" s="36">
        <v>-30473494.271809999</v>
      </c>
      <c r="FT2" s="36">
        <v>17733.80071</v>
      </c>
      <c r="FU2" s="38">
        <v>-1.7260899999999999E-2</v>
      </c>
      <c r="FV2" s="37">
        <v>84.608530000000002</v>
      </c>
      <c r="FW2" s="36">
        <v>11036.3038</v>
      </c>
      <c r="FX2" s="36">
        <v>1014.19303</v>
      </c>
      <c r="FY2" s="36">
        <v>22407391.840840001</v>
      </c>
      <c r="FZ2" s="36">
        <v>12050.49683</v>
      </c>
      <c r="GA2" s="38">
        <v>9.1896099999999994E-2</v>
      </c>
      <c r="GB2" s="37">
        <v>87.239530000000002</v>
      </c>
      <c r="GC2" s="37">
        <v>34</v>
      </c>
      <c r="GD2" s="37">
        <v>0</v>
      </c>
      <c r="GE2" s="36"/>
      <c r="GF2" s="37">
        <v>34</v>
      </c>
      <c r="GG2" s="38">
        <v>0</v>
      </c>
      <c r="GH2" s="37"/>
      <c r="GI2" s="37">
        <v>34</v>
      </c>
      <c r="GJ2" s="37">
        <v>0</v>
      </c>
      <c r="GK2" s="36"/>
      <c r="GL2" s="37">
        <v>34</v>
      </c>
      <c r="GM2" s="38">
        <v>0</v>
      </c>
      <c r="GN2" s="37"/>
      <c r="GO2" s="37">
        <v>34</v>
      </c>
      <c r="GP2" s="37">
        <v>0</v>
      </c>
      <c r="GQ2" s="36"/>
      <c r="GR2" s="37">
        <v>34</v>
      </c>
      <c r="GS2" s="38">
        <v>0</v>
      </c>
      <c r="GT2" s="37"/>
      <c r="GU2" s="34">
        <v>0.42291519999999999</v>
      </c>
      <c r="GV2" s="35">
        <v>6.6032000000000002</v>
      </c>
      <c r="GW2" s="36"/>
      <c r="GX2" s="34">
        <v>0.48894730000000003</v>
      </c>
      <c r="GY2" s="35">
        <v>6.6032000000000002</v>
      </c>
      <c r="GZ2" s="37"/>
      <c r="HA2" s="34">
        <v>0.43653419999999998</v>
      </c>
      <c r="HB2" s="35">
        <v>6.4297700000000004</v>
      </c>
      <c r="HC2" s="36"/>
      <c r="HD2" s="34">
        <v>0.5008319</v>
      </c>
      <c r="HE2" s="35">
        <v>6.4297700000000004</v>
      </c>
      <c r="HF2" s="37"/>
      <c r="HG2" s="34">
        <v>0.34530870000000002</v>
      </c>
      <c r="HH2" s="35">
        <v>7.7727000000000004</v>
      </c>
      <c r="HI2" s="36"/>
      <c r="HJ2" s="34">
        <v>0.42303570000000001</v>
      </c>
      <c r="HK2" s="35">
        <v>7.7727000000000004</v>
      </c>
      <c r="HL2" s="37"/>
      <c r="HM2" s="34">
        <v>0.29372759999999998</v>
      </c>
      <c r="HN2" s="35">
        <v>10.7021</v>
      </c>
      <c r="HO2" s="36"/>
      <c r="HP2" s="34">
        <v>0.40074869999999996</v>
      </c>
      <c r="HQ2" s="35">
        <v>10.7021</v>
      </c>
      <c r="HR2" s="37"/>
      <c r="HS2" s="34">
        <v>0.30824639999999998</v>
      </c>
      <c r="HT2" s="35">
        <v>10.557449999999999</v>
      </c>
      <c r="HU2" s="36"/>
      <c r="HV2" s="34">
        <v>0.41382080000000004</v>
      </c>
      <c r="HW2" s="35">
        <v>10.557449999999999</v>
      </c>
      <c r="HX2" s="37"/>
      <c r="HY2" s="34">
        <v>0.22455539999999999</v>
      </c>
      <c r="HZ2" s="35">
        <v>11.091139999999999</v>
      </c>
      <c r="IA2" s="36"/>
      <c r="IB2" s="34">
        <v>0.33546680000000001</v>
      </c>
      <c r="IC2" s="35">
        <v>11.091139999999999</v>
      </c>
      <c r="ID2" s="37"/>
      <c r="IE2" s="34">
        <v>5.8945000000000004E-3</v>
      </c>
      <c r="IF2" s="35">
        <v>0.18359</v>
      </c>
      <c r="IG2" s="36">
        <v>543703349.43403995</v>
      </c>
      <c r="IH2" s="34">
        <v>7.7303999999999993E-3</v>
      </c>
      <c r="II2" s="35">
        <v>0.18359</v>
      </c>
      <c r="IJ2" s="37">
        <v>136.54519999999999</v>
      </c>
      <c r="IK2" s="34">
        <v>7.6251000000000001E-3</v>
      </c>
      <c r="IL2" s="35">
        <v>0.21940000000000001</v>
      </c>
      <c r="IM2" s="36">
        <v>0</v>
      </c>
      <c r="IN2" s="34">
        <v>9.819099999999999E-3</v>
      </c>
      <c r="IO2" s="35">
        <v>0.21940000000000001</v>
      </c>
      <c r="IP2" s="37">
        <v>135.59962999999999</v>
      </c>
      <c r="IQ2" s="34">
        <v>2.9474000000000002E-3</v>
      </c>
      <c r="IR2" s="35">
        <v>0.10188999999999999</v>
      </c>
      <c r="IS2" s="36">
        <v>75675136.874080002</v>
      </c>
      <c r="IT2" s="34">
        <v>3.9661999999999996E-3</v>
      </c>
      <c r="IU2" s="35">
        <v>0.10188999999999999</v>
      </c>
      <c r="IV2" s="37">
        <v>140.42463000000001</v>
      </c>
      <c r="IW2" s="34">
        <v>0.2908945</v>
      </c>
      <c r="IX2" s="35">
        <v>9.7312399999999997</v>
      </c>
      <c r="IY2" s="36"/>
      <c r="IZ2" s="34">
        <v>0.38820689999999997</v>
      </c>
      <c r="JA2" s="35">
        <v>9.7312399999999997</v>
      </c>
      <c r="JB2" s="37"/>
      <c r="JC2" s="34">
        <v>5.7162300000000006E-2</v>
      </c>
      <c r="JD2" s="35">
        <v>1.29691</v>
      </c>
      <c r="JE2" s="36"/>
      <c r="JF2" s="34">
        <v>7.0131399999999997E-2</v>
      </c>
      <c r="JG2" s="35">
        <v>1.29691</v>
      </c>
      <c r="JH2" s="37">
        <v>129.2465</v>
      </c>
      <c r="JI2" s="34">
        <v>2.4322E-2</v>
      </c>
      <c r="JJ2" s="35">
        <v>0.56866000000000005</v>
      </c>
      <c r="JK2" s="36">
        <v>367720745.12919003</v>
      </c>
      <c r="JL2" s="34">
        <v>3.00086E-2</v>
      </c>
      <c r="JM2" s="35">
        <v>0.56866000000000005</v>
      </c>
      <c r="JN2" s="37">
        <v>133.45258999999999</v>
      </c>
      <c r="JO2" s="36">
        <v>10910.27678</v>
      </c>
      <c r="JP2" s="36">
        <v>-219.04532</v>
      </c>
      <c r="JQ2" s="36">
        <v>-40668295.855829999</v>
      </c>
      <c r="JR2" s="36">
        <v>10691.231460000001</v>
      </c>
      <c r="JS2" s="38">
        <v>-2.0076999999999998E-2</v>
      </c>
      <c r="JT2" s="37">
        <v>84.738619999999997</v>
      </c>
      <c r="JU2" s="36">
        <v>11045.27202</v>
      </c>
      <c r="JV2" s="36">
        <v>-261.03696000000002</v>
      </c>
      <c r="JW2" s="36">
        <v>-41859332.878559999</v>
      </c>
      <c r="JX2" s="36">
        <v>10784.235070000001</v>
      </c>
      <c r="JY2" s="38">
        <v>-2.3633399999999999E-2</v>
      </c>
      <c r="JZ2" s="37">
        <v>85.459299999999999</v>
      </c>
      <c r="KA2" s="36">
        <v>10027.41092</v>
      </c>
      <c r="KB2" s="36">
        <v>90.883250000000004</v>
      </c>
      <c r="KC2" s="36">
        <v>2299636.3177100001</v>
      </c>
      <c r="KD2" s="36">
        <v>10118.294169999999</v>
      </c>
      <c r="KE2" s="38">
        <v>9.0635000000000004E-3</v>
      </c>
      <c r="KF2" s="37">
        <v>82.005589999999998</v>
      </c>
      <c r="KG2" s="37">
        <v>4</v>
      </c>
      <c r="KH2" s="37">
        <v>0</v>
      </c>
      <c r="KI2" s="36"/>
      <c r="KJ2" s="37">
        <v>4</v>
      </c>
      <c r="KK2" s="38">
        <v>0</v>
      </c>
      <c r="KL2" s="37">
        <v>100</v>
      </c>
      <c r="KM2" s="37">
        <v>4</v>
      </c>
      <c r="KN2" s="37">
        <v>0</v>
      </c>
      <c r="KO2" s="36"/>
      <c r="KP2" s="37">
        <v>4</v>
      </c>
      <c r="KQ2" s="38">
        <v>0</v>
      </c>
      <c r="KR2" s="37">
        <v>100</v>
      </c>
      <c r="KS2" s="37">
        <v>4</v>
      </c>
      <c r="KT2" s="37">
        <v>0</v>
      </c>
      <c r="KU2" s="36"/>
      <c r="KV2" s="37">
        <v>4</v>
      </c>
      <c r="KW2" s="38">
        <v>0</v>
      </c>
      <c r="KX2" s="37">
        <v>100</v>
      </c>
      <c r="KY2" s="37">
        <v>169084</v>
      </c>
      <c r="KZ2" s="37">
        <v>34328</v>
      </c>
      <c r="LA2" s="37">
        <v>203412</v>
      </c>
      <c r="LB2" s="38">
        <v>0.20302330000000002</v>
      </c>
      <c r="LC2" s="37">
        <v>136.43548000000001</v>
      </c>
      <c r="LD2" s="37">
        <v>146659</v>
      </c>
      <c r="LE2" s="37">
        <v>28345</v>
      </c>
      <c r="LF2" s="37">
        <v>175004</v>
      </c>
      <c r="LG2" s="38">
        <v>0.19327149999999998</v>
      </c>
      <c r="LH2" s="37">
        <v>134.25002000000001</v>
      </c>
      <c r="LI2" s="37">
        <v>22425</v>
      </c>
      <c r="LJ2" s="37">
        <v>5983</v>
      </c>
      <c r="LK2" s="37">
        <v>28408</v>
      </c>
      <c r="LL2" s="38">
        <v>0.26680039999999999</v>
      </c>
      <c r="LM2" s="37">
        <v>149.39156</v>
      </c>
      <c r="LN2" s="39">
        <v>1.7775300000000001</v>
      </c>
      <c r="LO2" s="39">
        <v>1.7909999999999999E-2</v>
      </c>
      <c r="LP2" s="39">
        <v>1.79545</v>
      </c>
      <c r="LQ2" s="38">
        <v>1.0077300000000001E-2</v>
      </c>
      <c r="LR2" s="37">
        <v>100.59737</v>
      </c>
      <c r="LS2" s="39">
        <v>1.6337600000000001</v>
      </c>
      <c r="LT2" s="39">
        <v>1.0659999999999999E-2</v>
      </c>
      <c r="LU2" s="36">
        <v>11385838.606760001</v>
      </c>
      <c r="LV2" s="39">
        <v>1.64442</v>
      </c>
      <c r="LW2" s="38">
        <v>6.5266999999999999E-3</v>
      </c>
      <c r="LX2" s="37">
        <v>99.004480000000001</v>
      </c>
      <c r="LY2" s="39">
        <v>1.5351300000000001</v>
      </c>
      <c r="LZ2" s="39">
        <v>2.6259999999999999E-2</v>
      </c>
      <c r="MA2" s="36">
        <v>34012658.008220002</v>
      </c>
      <c r="MB2" s="39">
        <v>1.5613900000000001</v>
      </c>
      <c r="MC2" s="38">
        <v>1.7106799999999998E-2</v>
      </c>
      <c r="MD2" s="37">
        <v>99.919179999999997</v>
      </c>
      <c r="ME2" s="39">
        <v>1.1006100000000001</v>
      </c>
      <c r="MF2" s="39">
        <v>9.035E-2</v>
      </c>
      <c r="MG2" s="36">
        <v>20107755.523139998</v>
      </c>
      <c r="MH2" s="39">
        <v>1.19096</v>
      </c>
      <c r="MI2" s="38">
        <v>8.2088599999999998E-2</v>
      </c>
      <c r="MJ2" s="37">
        <v>106.38240999999999</v>
      </c>
      <c r="MK2" s="36">
        <v>103554464</v>
      </c>
      <c r="ML2" s="36">
        <v>103554464</v>
      </c>
      <c r="MM2" s="36">
        <v>103554464</v>
      </c>
      <c r="MN2" s="36">
        <v>88280246</v>
      </c>
      <c r="MO2" s="36">
        <v>88280246</v>
      </c>
      <c r="MP2" s="36">
        <v>88280246</v>
      </c>
      <c r="MQ2" s="36">
        <v>15289918</v>
      </c>
      <c r="MR2" s="36">
        <v>15289918</v>
      </c>
      <c r="MS2" s="36">
        <v>15289918</v>
      </c>
      <c r="MT2" s="37">
        <v>168985</v>
      </c>
      <c r="MU2" s="37">
        <v>26475</v>
      </c>
      <c r="MV2" s="36">
        <v>284632257.51594001</v>
      </c>
      <c r="MW2" s="37">
        <v>195460</v>
      </c>
      <c r="MX2" s="38">
        <v>0.1566707</v>
      </c>
      <c r="MY2" s="37">
        <v>146603</v>
      </c>
      <c r="MZ2" s="37">
        <v>21632</v>
      </c>
      <c r="NA2" s="36">
        <v>235046213.05388001</v>
      </c>
      <c r="NB2" s="37">
        <v>168235</v>
      </c>
      <c r="NC2" s="38">
        <v>0.14755499999999999</v>
      </c>
      <c r="ND2" s="37">
        <v>22380</v>
      </c>
      <c r="NE2" s="37">
        <v>4844</v>
      </c>
      <c r="NF2" s="36">
        <v>48531696.922669999</v>
      </c>
      <c r="NG2" s="37">
        <v>27224</v>
      </c>
      <c r="NH2" s="38">
        <v>0.21644330000000001</v>
      </c>
      <c r="NI2" s="36">
        <v>1844753239.49</v>
      </c>
      <c r="NJ2" s="36">
        <v>329971534.83999997</v>
      </c>
      <c r="NK2" s="36">
        <v>329971534.83999997</v>
      </c>
      <c r="NL2" s="36">
        <v>2174724774.3299999</v>
      </c>
      <c r="NM2" s="38">
        <v>0.17887029999999998</v>
      </c>
      <c r="NN2" s="37">
        <v>115.61354</v>
      </c>
      <c r="NO2" s="36">
        <v>1619888549.5</v>
      </c>
      <c r="NP2" s="36">
        <v>267395723.93000001</v>
      </c>
      <c r="NQ2" s="36">
        <v>267395723.93000001</v>
      </c>
      <c r="NR2" s="36">
        <v>1887284273.4300001</v>
      </c>
      <c r="NS2" s="38">
        <v>0.16507040000000001</v>
      </c>
      <c r="NT2" s="37">
        <v>114.72913</v>
      </c>
      <c r="NU2" s="36">
        <v>224864689.99000001</v>
      </c>
      <c r="NV2" s="36">
        <v>62575810.909999996</v>
      </c>
      <c r="NW2" s="36">
        <v>62575810.909999996</v>
      </c>
      <c r="NX2" s="36">
        <v>287440500.89999998</v>
      </c>
      <c r="NY2" s="38">
        <v>0.27828209999999998</v>
      </c>
      <c r="NZ2" s="37">
        <v>122.50942000000001</v>
      </c>
      <c r="OA2" s="36">
        <v>4280169.9292099997</v>
      </c>
      <c r="OB2" s="36">
        <v>947533.85523999995</v>
      </c>
      <c r="OC2" s="36"/>
      <c r="OD2" s="36">
        <v>5227703.7844500002</v>
      </c>
      <c r="OE2" s="38">
        <v>0.22137760000000001</v>
      </c>
      <c r="OF2" s="37">
        <v>115.61354</v>
      </c>
      <c r="OG2" s="36">
        <v>3775963.9848500001</v>
      </c>
      <c r="OH2" s="36">
        <v>760777.05704999994</v>
      </c>
      <c r="OI2" s="36"/>
      <c r="OJ2" s="36">
        <v>4536741.0418999996</v>
      </c>
      <c r="OK2" s="38">
        <v>0.20147890000000002</v>
      </c>
      <c r="OL2" s="37">
        <v>114.19674999999999</v>
      </c>
      <c r="OM2" s="36">
        <v>521727.81900000002</v>
      </c>
      <c r="ON2" s="36">
        <v>169234.92355000001</v>
      </c>
      <c r="OO2" s="36"/>
      <c r="OP2" s="36">
        <v>690962.74254999997</v>
      </c>
      <c r="OQ2" s="38">
        <v>0.32437399999999994</v>
      </c>
      <c r="OR2" s="37">
        <v>122.50942000000001</v>
      </c>
      <c r="OS2" s="39">
        <v>392.30626000000001</v>
      </c>
      <c r="OT2" s="39">
        <v>96.66489</v>
      </c>
      <c r="OU2" s="36"/>
      <c r="OV2" s="39">
        <v>488.97115000000002</v>
      </c>
      <c r="OW2" s="38">
        <v>0.24640160000000003</v>
      </c>
      <c r="OX2" s="37">
        <v>136.43548000000001</v>
      </c>
      <c r="OY2" s="39">
        <v>341.86246999999997</v>
      </c>
      <c r="OZ2" s="39">
        <v>78.820220000000006</v>
      </c>
      <c r="PA2" s="36"/>
      <c r="PB2" s="39">
        <v>420.68268999999998</v>
      </c>
      <c r="PC2" s="38">
        <v>0.23056119999999999</v>
      </c>
      <c r="PD2" s="37">
        <v>133.62705</v>
      </c>
      <c r="PE2" s="39">
        <v>52.030160000000002</v>
      </c>
      <c r="PF2" s="39">
        <v>16.258299999999998</v>
      </c>
      <c r="PG2" s="36"/>
      <c r="PH2" s="39">
        <v>68.288460000000001</v>
      </c>
      <c r="PI2" s="38">
        <v>0.31247829999999999</v>
      </c>
      <c r="PJ2" s="37">
        <v>149.39156</v>
      </c>
      <c r="PK2" s="36">
        <v>1046403.47517</v>
      </c>
      <c r="PL2" s="36">
        <v>229601.82586000001</v>
      </c>
      <c r="PM2" s="36"/>
      <c r="PN2" s="36">
        <v>1276005.3010199999</v>
      </c>
      <c r="PO2" s="38">
        <v>0.21942</v>
      </c>
      <c r="PP2" s="37"/>
      <c r="PQ2" s="39">
        <v>95.909890000000004</v>
      </c>
      <c r="PR2" s="39">
        <v>23.440750000000001</v>
      </c>
      <c r="PS2" s="36"/>
      <c r="PT2" s="39">
        <v>119.35064</v>
      </c>
      <c r="PU2" s="38">
        <v>0.2444038</v>
      </c>
      <c r="PV2" s="37"/>
      <c r="PW2" s="37">
        <v>110143</v>
      </c>
      <c r="PX2" s="37">
        <v>20133</v>
      </c>
      <c r="PY2" s="36">
        <v>336627172.68760997</v>
      </c>
      <c r="PZ2" s="37">
        <v>130276</v>
      </c>
      <c r="QA2" s="38">
        <v>0.18278960000000002</v>
      </c>
      <c r="QB2" s="37">
        <v>136.54584</v>
      </c>
      <c r="QC2" s="37">
        <v>89768</v>
      </c>
      <c r="QD2" s="37">
        <v>16655</v>
      </c>
      <c r="QE2" s="36">
        <v>0</v>
      </c>
      <c r="QF2" s="37">
        <v>106423</v>
      </c>
      <c r="QG2" s="38">
        <v>0.1855338</v>
      </c>
      <c r="QH2" s="37">
        <v>135.59996000000001</v>
      </c>
      <c r="QI2" s="37">
        <v>20375</v>
      </c>
      <c r="QJ2" s="37">
        <v>3478</v>
      </c>
      <c r="QK2" s="36">
        <v>40168419.069159999</v>
      </c>
      <c r="QL2" s="37">
        <v>23853</v>
      </c>
      <c r="QM2" s="38">
        <v>0.1706994</v>
      </c>
      <c r="QN2" s="37">
        <v>140.42881</v>
      </c>
      <c r="QO2" s="37">
        <v>18685753</v>
      </c>
      <c r="QP2" s="37">
        <v>-1833361</v>
      </c>
      <c r="QQ2" s="36">
        <v>-207076176.74643001</v>
      </c>
      <c r="QR2" s="37">
        <v>16852392</v>
      </c>
      <c r="QS2" s="38">
        <v>-9.8115400000000005E-2</v>
      </c>
      <c r="QT2" s="37">
        <v>100</v>
      </c>
      <c r="QU2" s="37">
        <v>11772767</v>
      </c>
      <c r="QV2" s="37">
        <v>-934378</v>
      </c>
      <c r="QW2" s="36">
        <v>0</v>
      </c>
      <c r="QX2" s="37">
        <v>10838389</v>
      </c>
      <c r="QY2" s="38">
        <v>-7.9367699999999999E-2</v>
      </c>
      <c r="QZ2" s="37">
        <v>100</v>
      </c>
      <c r="RA2" s="37">
        <v>6912986</v>
      </c>
      <c r="RB2" s="37">
        <v>-898983</v>
      </c>
      <c r="RC2" s="36">
        <v>-35506717.804930001</v>
      </c>
      <c r="RD2" s="37">
        <v>6014003</v>
      </c>
      <c r="RE2" s="38">
        <v>-0.13004260000000001</v>
      </c>
      <c r="RF2" s="37">
        <v>100</v>
      </c>
    </row>
    <row r="3" spans="1:474" x14ac:dyDescent="0.25">
      <c r="A3" s="1" t="s">
        <v>505</v>
      </c>
      <c r="B3" s="1" t="s">
        <v>508</v>
      </c>
      <c r="C3" s="34">
        <v>6.3708899999999999E-2</v>
      </c>
      <c r="D3" s="35">
        <v>-0.65939000000000003</v>
      </c>
      <c r="E3" s="36"/>
      <c r="F3" s="34">
        <v>5.7115099999999995E-2</v>
      </c>
      <c r="G3" s="35">
        <v>-0.65939000000000003</v>
      </c>
      <c r="H3" s="37">
        <v>97.869079999999997</v>
      </c>
      <c r="I3" s="37">
        <v>426</v>
      </c>
      <c r="J3" s="37">
        <v>-12</v>
      </c>
      <c r="K3" s="36">
        <v>0</v>
      </c>
      <c r="L3" s="37">
        <v>414</v>
      </c>
      <c r="M3" s="38">
        <v>-2.8169E-2</v>
      </c>
      <c r="N3" s="37">
        <v>100.68729999999999</v>
      </c>
      <c r="O3" s="37">
        <v>421</v>
      </c>
      <c r="P3" s="37">
        <v>-6</v>
      </c>
      <c r="Q3" s="36"/>
      <c r="R3" s="37">
        <v>415</v>
      </c>
      <c r="S3" s="38">
        <v>-1.4251799999999998E-2</v>
      </c>
      <c r="T3" s="37">
        <v>102.1292</v>
      </c>
      <c r="U3" s="37">
        <v>430</v>
      </c>
      <c r="V3" s="37">
        <v>-14</v>
      </c>
      <c r="W3" s="36"/>
      <c r="X3" s="37">
        <v>416</v>
      </c>
      <c r="Y3" s="38">
        <v>-3.25581E-2</v>
      </c>
      <c r="Z3" s="37">
        <v>100.23256000000001</v>
      </c>
      <c r="AA3" s="37">
        <v>64261</v>
      </c>
      <c r="AB3" s="37">
        <v>-16953</v>
      </c>
      <c r="AC3" s="36">
        <v>-225390074.86785999</v>
      </c>
      <c r="AD3" s="37">
        <v>47308</v>
      </c>
      <c r="AE3" s="38">
        <v>-0.26381480000000002</v>
      </c>
      <c r="AF3" s="37">
        <v>83.16301</v>
      </c>
      <c r="AG3" s="37">
        <v>3392279</v>
      </c>
      <c r="AH3" s="37">
        <v>-144181</v>
      </c>
      <c r="AI3" s="36">
        <v>-31962365.964090001</v>
      </c>
      <c r="AJ3" s="37">
        <v>3248098</v>
      </c>
      <c r="AK3" s="38">
        <v>-4.2502700000000004E-2</v>
      </c>
      <c r="AL3" s="37">
        <v>100</v>
      </c>
      <c r="AM3" s="36">
        <v>137938.64426</v>
      </c>
      <c r="AN3" s="38">
        <v>1.74E-4</v>
      </c>
      <c r="AO3" s="36">
        <v>-3917339.21019</v>
      </c>
      <c r="AP3" s="38">
        <v>-5.7408000000000008E-3</v>
      </c>
      <c r="AQ3" s="36">
        <v>4174260.0934600001</v>
      </c>
      <c r="AR3" s="38">
        <v>3.8130600000000001E-2</v>
      </c>
      <c r="AS3" s="36">
        <v>159909</v>
      </c>
      <c r="AT3" s="36">
        <v>-159909</v>
      </c>
      <c r="AU3" s="36">
        <v>-159909</v>
      </c>
      <c r="AV3" s="36">
        <v>113792</v>
      </c>
      <c r="AW3" s="36">
        <v>-113792</v>
      </c>
      <c r="AX3" s="36">
        <v>-113792</v>
      </c>
      <c r="AY3" s="36">
        <v>1409347</v>
      </c>
      <c r="AZ3" s="36">
        <v>-1409347</v>
      </c>
      <c r="BA3" s="36">
        <v>-1409347</v>
      </c>
      <c r="BB3" s="36">
        <v>95929183.635769993</v>
      </c>
      <c r="BC3" s="34">
        <v>0.12864900000000001</v>
      </c>
      <c r="BD3" s="36">
        <v>83195885.464139998</v>
      </c>
      <c r="BE3" s="34">
        <v>0.1300627</v>
      </c>
      <c r="BF3" s="36">
        <v>12667470.65532</v>
      </c>
      <c r="BG3" s="34">
        <v>0.12026120000000001</v>
      </c>
      <c r="BH3" s="34">
        <v>0.98998000000000008</v>
      </c>
      <c r="BI3" s="35">
        <v>-0.23799999999999999</v>
      </c>
      <c r="BJ3" s="36"/>
      <c r="BK3" s="34">
        <v>0.98760000000000003</v>
      </c>
      <c r="BL3" s="35">
        <v>-0.23799999999999999</v>
      </c>
      <c r="BM3" s="37"/>
      <c r="BN3" s="39">
        <v>1.0723</v>
      </c>
      <c r="BO3" s="39">
        <v>-8.2100000000000003E-3</v>
      </c>
      <c r="BP3" s="36">
        <v>-5654946.1460199999</v>
      </c>
      <c r="BQ3" s="39">
        <v>1.06409</v>
      </c>
      <c r="BR3" s="38">
        <v>-7.6548000000000007E-3</v>
      </c>
      <c r="BS3" s="37">
        <v>100.47668</v>
      </c>
      <c r="BT3" s="36">
        <v>50350948.960000001</v>
      </c>
      <c r="BU3" s="36">
        <v>-6987044.96</v>
      </c>
      <c r="BV3" s="36"/>
      <c r="BW3" s="36">
        <v>45816849.960000001</v>
      </c>
      <c r="BX3" s="36">
        <v>-7349680.96</v>
      </c>
      <c r="BY3" s="36"/>
      <c r="BZ3" s="36">
        <v>38467169</v>
      </c>
      <c r="CA3" s="34">
        <v>-0.16041440000000001</v>
      </c>
      <c r="CB3" s="37"/>
      <c r="CC3" s="36">
        <v>4534099</v>
      </c>
      <c r="CD3" s="36">
        <v>362636</v>
      </c>
      <c r="CE3" s="36"/>
      <c r="CF3" s="36">
        <v>4896735</v>
      </c>
      <c r="CG3" s="34">
        <v>7.9979700000000001E-2</v>
      </c>
      <c r="CH3" s="37"/>
      <c r="CI3" s="36">
        <v>43363904</v>
      </c>
      <c r="CJ3" s="34">
        <v>-0.1387669</v>
      </c>
      <c r="CK3" s="37"/>
      <c r="CL3" s="36">
        <v>621.68573000000004</v>
      </c>
      <c r="CM3" s="36">
        <v>108.12517</v>
      </c>
      <c r="CN3" s="36"/>
      <c r="CO3" s="36">
        <v>664.9085</v>
      </c>
      <c r="CP3" s="36">
        <v>99.238680000000002</v>
      </c>
      <c r="CQ3" s="36"/>
      <c r="CR3" s="36">
        <v>764.14718000000005</v>
      </c>
      <c r="CS3" s="38">
        <v>0.14925160000000001</v>
      </c>
      <c r="CT3" s="37"/>
      <c r="CU3" s="36">
        <v>375.21508</v>
      </c>
      <c r="CV3" s="36">
        <v>164.19173000000001</v>
      </c>
      <c r="CW3" s="36"/>
      <c r="CX3" s="36">
        <v>539.40680999999995</v>
      </c>
      <c r="CY3" s="38">
        <v>0.43759360000000003</v>
      </c>
      <c r="CZ3" s="37"/>
      <c r="DA3" s="36">
        <v>729.81089999999995</v>
      </c>
      <c r="DB3" s="38">
        <v>0.17392260000000001</v>
      </c>
      <c r="DC3" s="37"/>
      <c r="DD3" s="36">
        <v>288949.52124999999</v>
      </c>
      <c r="DE3" s="36">
        <v>18295.168600000001</v>
      </c>
      <c r="DF3" s="36"/>
      <c r="DG3" s="36">
        <v>307244.68984000001</v>
      </c>
      <c r="DH3" s="38">
        <v>6.33161E-2</v>
      </c>
      <c r="DI3" s="37"/>
      <c r="DJ3" s="36">
        <v>170808.83738000001</v>
      </c>
      <c r="DK3" s="36">
        <v>6919.1629400000002</v>
      </c>
      <c r="DL3" s="36"/>
      <c r="DM3" s="36">
        <v>177728.00031999999</v>
      </c>
      <c r="DN3" s="38">
        <v>4.0508200000000001E-2</v>
      </c>
      <c r="DO3" s="37"/>
      <c r="DP3" s="36">
        <v>271322.72291000001</v>
      </c>
      <c r="DQ3" s="36">
        <v>16134.14998</v>
      </c>
      <c r="DR3" s="36"/>
      <c r="DS3" s="36">
        <v>287456.87289</v>
      </c>
      <c r="DT3" s="38">
        <v>5.9464800000000005E-2</v>
      </c>
      <c r="DU3" s="37"/>
      <c r="DV3" s="36">
        <v>712.98065999999994</v>
      </c>
      <c r="DW3" s="36">
        <v>100.1412</v>
      </c>
      <c r="DX3" s="36"/>
      <c r="DY3" s="36">
        <v>813.12185999999997</v>
      </c>
      <c r="DZ3" s="34">
        <v>0.1404543</v>
      </c>
      <c r="EA3" s="37"/>
      <c r="EB3" s="36">
        <v>309840.25553000002</v>
      </c>
      <c r="EC3" s="36">
        <v>17095.943139999999</v>
      </c>
      <c r="ED3" s="36"/>
      <c r="EE3" s="36">
        <v>326936.19867000001</v>
      </c>
      <c r="EF3" s="38">
        <v>5.5176599999999999E-2</v>
      </c>
      <c r="EG3" s="37"/>
      <c r="EH3" s="36">
        <v>19910644660.470001</v>
      </c>
      <c r="EI3" s="36">
        <v>-4443946973.6899996</v>
      </c>
      <c r="EJ3" s="36"/>
      <c r="EK3" s="36">
        <v>15466697686.780001</v>
      </c>
      <c r="EL3" s="38">
        <v>-0.22319449999999999</v>
      </c>
      <c r="EM3" s="37"/>
      <c r="EN3" s="36">
        <v>2064053990.9100001</v>
      </c>
      <c r="EO3" s="36">
        <v>-450639204.01999998</v>
      </c>
      <c r="EP3" s="36"/>
      <c r="EQ3" s="36">
        <v>1613414786.8900001</v>
      </c>
      <c r="ER3" s="38">
        <v>-0.21832719999999997</v>
      </c>
      <c r="ES3" s="37"/>
      <c r="ET3" s="36">
        <v>21974698651.380001</v>
      </c>
      <c r="EU3" s="36">
        <v>-4894586177.71</v>
      </c>
      <c r="EV3" s="36"/>
      <c r="EW3" s="36">
        <v>17080112473.67</v>
      </c>
      <c r="EX3" s="38">
        <v>-0.2227374</v>
      </c>
      <c r="EY3" s="37"/>
      <c r="EZ3" s="36">
        <v>12751.018609999999</v>
      </c>
      <c r="FA3" s="36">
        <v>1164.2077999999999</v>
      </c>
      <c r="FB3" s="36">
        <v>64298398.88786</v>
      </c>
      <c r="FC3" s="36">
        <v>13915.226409999999</v>
      </c>
      <c r="FD3" s="38">
        <v>9.1303099999999998E-2</v>
      </c>
      <c r="FE3" s="37">
        <v>95.131389999999996</v>
      </c>
      <c r="FF3" s="36">
        <v>13118.20652</v>
      </c>
      <c r="FG3" s="36">
        <v>1157.14912</v>
      </c>
      <c r="FH3" s="36">
        <v>14275.35564</v>
      </c>
      <c r="FI3" s="38">
        <v>8.8209400000000007E-2</v>
      </c>
      <c r="FJ3" s="37">
        <v>98.484750000000005</v>
      </c>
      <c r="FK3" s="36">
        <v>11706.749180000001</v>
      </c>
      <c r="FL3" s="36">
        <v>1260.0531000000001</v>
      </c>
      <c r="FM3" s="36">
        <v>87529834.633540004</v>
      </c>
      <c r="FN3" s="36">
        <v>12966.80228</v>
      </c>
      <c r="FO3" s="38">
        <v>0.10763479999999999</v>
      </c>
      <c r="FP3" s="37">
        <v>94.095380000000006</v>
      </c>
      <c r="FQ3" s="36">
        <v>11891.29126</v>
      </c>
      <c r="FR3" s="36">
        <v>1185.81504</v>
      </c>
      <c r="FS3" s="36">
        <v>69953345.033889994</v>
      </c>
      <c r="FT3" s="36">
        <v>13077.106299999999</v>
      </c>
      <c r="FU3" s="38">
        <v>9.9721299999999999E-2</v>
      </c>
      <c r="FV3" s="37">
        <v>94.680070000000001</v>
      </c>
      <c r="FW3" s="36">
        <v>10654.428669999999</v>
      </c>
      <c r="FX3" s="36">
        <v>1700.7076</v>
      </c>
      <c r="FY3" s="36">
        <v>17810557.310249999</v>
      </c>
      <c r="FZ3" s="36">
        <v>12355.136259999999</v>
      </c>
      <c r="GA3" s="38">
        <v>0.1596245</v>
      </c>
      <c r="GB3" s="37">
        <v>92.650840000000002</v>
      </c>
      <c r="GC3" s="37">
        <v>52</v>
      </c>
      <c r="GD3" s="37">
        <v>9</v>
      </c>
      <c r="GE3" s="36"/>
      <c r="GF3" s="37">
        <v>61</v>
      </c>
      <c r="GG3" s="38">
        <v>0.17307690000000001</v>
      </c>
      <c r="GH3" s="37"/>
      <c r="GI3" s="37">
        <v>52</v>
      </c>
      <c r="GJ3" s="37">
        <v>9</v>
      </c>
      <c r="GK3" s="36"/>
      <c r="GL3" s="37">
        <v>61</v>
      </c>
      <c r="GM3" s="38">
        <v>0.17307690000000001</v>
      </c>
      <c r="GN3" s="37"/>
      <c r="GO3" s="37">
        <v>52</v>
      </c>
      <c r="GP3" s="37">
        <v>9</v>
      </c>
      <c r="GQ3" s="36"/>
      <c r="GR3" s="37">
        <v>61</v>
      </c>
      <c r="GS3" s="38">
        <v>0.17307690000000001</v>
      </c>
      <c r="GT3" s="37"/>
      <c r="GU3" s="34">
        <v>0.21736419999999998</v>
      </c>
      <c r="GV3" s="35">
        <v>-4.4139999999999997</v>
      </c>
      <c r="GW3" s="36"/>
      <c r="GX3" s="34">
        <v>0.17322420000000002</v>
      </c>
      <c r="GY3" s="35">
        <v>-4.4139999999999997</v>
      </c>
      <c r="GZ3" s="37"/>
      <c r="HA3" s="34">
        <v>0.22081340000000002</v>
      </c>
      <c r="HB3" s="35">
        <v>-4.6118800000000002</v>
      </c>
      <c r="HC3" s="36"/>
      <c r="HD3" s="34">
        <v>0.17469460000000001</v>
      </c>
      <c r="HE3" s="35">
        <v>-4.6118800000000002</v>
      </c>
      <c r="HF3" s="37"/>
      <c r="HG3" s="34">
        <v>0.1977093</v>
      </c>
      <c r="HH3" s="35">
        <v>-3.2639800000000001</v>
      </c>
      <c r="HI3" s="36"/>
      <c r="HJ3" s="34">
        <v>0.16506950000000001</v>
      </c>
      <c r="HK3" s="35">
        <v>-3.2639800000000001</v>
      </c>
      <c r="HL3" s="37"/>
      <c r="HM3" s="34">
        <v>0.16530039999999999</v>
      </c>
      <c r="HN3" s="35">
        <v>-3.3069000000000002</v>
      </c>
      <c r="HO3" s="36"/>
      <c r="HP3" s="34">
        <v>0.1322314</v>
      </c>
      <c r="HQ3" s="35">
        <v>-3.3069000000000002</v>
      </c>
      <c r="HR3" s="37"/>
      <c r="HS3" s="34">
        <v>0.17193059999999999</v>
      </c>
      <c r="HT3" s="35">
        <v>-3.6432199999999999</v>
      </c>
      <c r="HU3" s="36"/>
      <c r="HV3" s="34">
        <v>0.13549839999999999</v>
      </c>
      <c r="HW3" s="35">
        <v>-3.6432199999999999</v>
      </c>
      <c r="HX3" s="37"/>
      <c r="HY3" s="34">
        <v>0.13371180000000002</v>
      </c>
      <c r="HZ3" s="35">
        <v>-1.7795799999999999</v>
      </c>
      <c r="IA3" s="36"/>
      <c r="IB3" s="34">
        <v>0.11591599999999999</v>
      </c>
      <c r="IC3" s="35">
        <v>-1.7795799999999999</v>
      </c>
      <c r="ID3" s="37"/>
      <c r="IE3" s="34">
        <v>4.3343999999999995E-3</v>
      </c>
      <c r="IF3" s="35">
        <v>-8.0860000000000001E-2</v>
      </c>
      <c r="IG3" s="36">
        <v>-176787788.21239999</v>
      </c>
      <c r="IH3" s="34">
        <v>3.5257999999999999E-3</v>
      </c>
      <c r="II3" s="35">
        <v>-8.0860000000000001E-2</v>
      </c>
      <c r="IJ3" s="37">
        <v>84.693510000000003</v>
      </c>
      <c r="IK3" s="34">
        <v>5.8531E-3</v>
      </c>
      <c r="IL3" s="35">
        <v>-0.12085</v>
      </c>
      <c r="IM3" s="36">
        <v>0</v>
      </c>
      <c r="IN3" s="34">
        <v>4.6445999999999996E-3</v>
      </c>
      <c r="IO3" s="35">
        <v>-0.12085</v>
      </c>
      <c r="IP3" s="37">
        <v>83.559290000000004</v>
      </c>
      <c r="IQ3" s="34">
        <v>1.7480000000000002E-3</v>
      </c>
      <c r="IR3" s="35">
        <v>-2.385E-2</v>
      </c>
      <c r="IS3" s="36">
        <v>-17644719.560010001</v>
      </c>
      <c r="IT3" s="34">
        <v>1.5095E-3</v>
      </c>
      <c r="IU3" s="35">
        <v>-2.385E-2</v>
      </c>
      <c r="IV3" s="37">
        <v>90.115489999999994</v>
      </c>
      <c r="IW3" s="34">
        <v>0.22656469999999998</v>
      </c>
      <c r="IX3" s="35">
        <v>-3.81467</v>
      </c>
      <c r="IY3" s="36"/>
      <c r="IZ3" s="34">
        <v>0.188418</v>
      </c>
      <c r="JA3" s="35">
        <v>-3.81467</v>
      </c>
      <c r="JB3" s="37"/>
      <c r="JC3" s="34">
        <v>4.3388999999999997E-2</v>
      </c>
      <c r="JD3" s="35">
        <v>-0.98321999999999998</v>
      </c>
      <c r="JE3" s="36"/>
      <c r="JF3" s="34">
        <v>3.3556700000000002E-2</v>
      </c>
      <c r="JG3" s="35">
        <v>-0.98321999999999998</v>
      </c>
      <c r="JH3" s="37">
        <v>81.473349999999996</v>
      </c>
      <c r="JI3" s="34">
        <v>1.89433E-2</v>
      </c>
      <c r="JJ3" s="35">
        <v>-0.43785000000000002</v>
      </c>
      <c r="JK3" s="36">
        <v>-193427708.90377</v>
      </c>
      <c r="JL3" s="34">
        <v>1.4564799999999999E-2</v>
      </c>
      <c r="JM3" s="35">
        <v>-0.43785000000000002</v>
      </c>
      <c r="JN3" s="37">
        <v>83.162859999999995</v>
      </c>
      <c r="JO3" s="36">
        <v>9964.1776399999999</v>
      </c>
      <c r="JP3" s="36">
        <v>1515.03</v>
      </c>
      <c r="JQ3" s="36">
        <v>121191743.23033001</v>
      </c>
      <c r="JR3" s="36">
        <v>11479.207630000001</v>
      </c>
      <c r="JS3" s="38">
        <v>0.15204770000000001</v>
      </c>
      <c r="JT3" s="37">
        <v>99.623059999999995</v>
      </c>
      <c r="JU3" s="36">
        <v>10016.786959999999</v>
      </c>
      <c r="JV3" s="36">
        <v>1471.49497</v>
      </c>
      <c r="JW3" s="36">
        <v>100867783.68002</v>
      </c>
      <c r="JX3" s="36">
        <v>11488.281929999999</v>
      </c>
      <c r="JY3" s="38">
        <v>0.1469029</v>
      </c>
      <c r="JZ3" s="37">
        <v>100.38598</v>
      </c>
      <c r="KA3" s="36">
        <v>9641.8869200000008</v>
      </c>
      <c r="KB3" s="36">
        <v>1784.34851</v>
      </c>
      <c r="KC3" s="36">
        <v>20420154.49755</v>
      </c>
      <c r="KD3" s="36">
        <v>11426.235430000001</v>
      </c>
      <c r="KE3" s="38">
        <v>0.18506219999999998</v>
      </c>
      <c r="KF3" s="37">
        <v>96.30883</v>
      </c>
      <c r="KG3" s="37">
        <v>4</v>
      </c>
      <c r="KH3" s="37">
        <v>0</v>
      </c>
      <c r="KI3" s="36"/>
      <c r="KJ3" s="37">
        <v>4</v>
      </c>
      <c r="KK3" s="38">
        <v>0</v>
      </c>
      <c r="KL3" s="37">
        <v>100</v>
      </c>
      <c r="KM3" s="37">
        <v>4</v>
      </c>
      <c r="KN3" s="37">
        <v>0</v>
      </c>
      <c r="KO3" s="36"/>
      <c r="KP3" s="37">
        <v>4</v>
      </c>
      <c r="KQ3" s="38">
        <v>0</v>
      </c>
      <c r="KR3" s="37">
        <v>100</v>
      </c>
      <c r="KS3" s="37">
        <v>4</v>
      </c>
      <c r="KT3" s="37">
        <v>0</v>
      </c>
      <c r="KU3" s="36"/>
      <c r="KV3" s="37">
        <v>4</v>
      </c>
      <c r="KW3" s="38">
        <v>0</v>
      </c>
      <c r="KX3" s="37">
        <v>100</v>
      </c>
      <c r="KY3" s="37">
        <v>95155</v>
      </c>
      <c r="KZ3" s="37">
        <v>-28037</v>
      </c>
      <c r="LA3" s="37">
        <v>67118</v>
      </c>
      <c r="LB3" s="38">
        <v>-0.29464560000000001</v>
      </c>
      <c r="LC3" s="37">
        <v>79.994600000000005</v>
      </c>
      <c r="LD3" s="37">
        <v>81802</v>
      </c>
      <c r="LE3" s="37">
        <v>-24500</v>
      </c>
      <c r="LF3" s="37">
        <v>57302</v>
      </c>
      <c r="LG3" s="38">
        <v>-0.29950369999999998</v>
      </c>
      <c r="LH3" s="37">
        <v>78.809939999999997</v>
      </c>
      <c r="LI3" s="37">
        <v>13353</v>
      </c>
      <c r="LJ3" s="37">
        <v>-3537</v>
      </c>
      <c r="LK3" s="37">
        <v>9816</v>
      </c>
      <c r="LL3" s="38">
        <v>-0.26488430000000002</v>
      </c>
      <c r="LM3" s="37">
        <v>86.690910000000002</v>
      </c>
      <c r="LN3" s="39">
        <v>1.2729600000000001</v>
      </c>
      <c r="LO3" s="39">
        <v>-6.1710000000000001E-2</v>
      </c>
      <c r="LP3" s="39">
        <v>1.2112499999999999</v>
      </c>
      <c r="LQ3" s="38">
        <v>-4.8478199999999999E-2</v>
      </c>
      <c r="LR3" s="37">
        <v>94.765609999999995</v>
      </c>
      <c r="LS3" s="39">
        <v>1.1871400000000001</v>
      </c>
      <c r="LT3" s="39">
        <v>-4.8840000000000001E-2</v>
      </c>
      <c r="LU3" s="36">
        <v>-30914438.646129999</v>
      </c>
      <c r="LV3" s="39">
        <v>1.1383000000000001</v>
      </c>
      <c r="LW3" s="38">
        <v>-4.1138300000000003E-2</v>
      </c>
      <c r="LX3" s="37">
        <v>94.316029999999998</v>
      </c>
      <c r="LY3" s="39">
        <v>1.1748799999999999</v>
      </c>
      <c r="LZ3" s="39">
        <v>-4.5289999999999997E-2</v>
      </c>
      <c r="MA3" s="36">
        <v>-33661908.596790001</v>
      </c>
      <c r="MB3" s="39">
        <v>1.1295900000000001</v>
      </c>
      <c r="MC3" s="38">
        <v>-3.8551299999999997E-2</v>
      </c>
      <c r="MD3" s="37">
        <v>94.451419999999999</v>
      </c>
      <c r="ME3" s="39">
        <v>1.10501</v>
      </c>
      <c r="MF3" s="39">
        <v>-2.3720000000000001E-2</v>
      </c>
      <c r="MG3" s="36">
        <v>-2609597.1872999999</v>
      </c>
      <c r="MH3" s="39">
        <v>1.0812999999999999</v>
      </c>
      <c r="MI3" s="38">
        <v>-2.14653E-2</v>
      </c>
      <c r="MJ3" s="37">
        <v>96.201809999999995</v>
      </c>
      <c r="MK3" s="36">
        <v>115146881</v>
      </c>
      <c r="ML3" s="36">
        <v>115146881</v>
      </c>
      <c r="MM3" s="36">
        <v>115146881</v>
      </c>
      <c r="MN3" s="36">
        <v>100104807</v>
      </c>
      <c r="MO3" s="36">
        <v>100104807</v>
      </c>
      <c r="MP3" s="36">
        <v>100104807</v>
      </c>
      <c r="MQ3" s="36">
        <v>15042074</v>
      </c>
      <c r="MR3" s="36">
        <v>15042074</v>
      </c>
      <c r="MS3" s="36">
        <v>15042074</v>
      </c>
      <c r="MT3" s="37">
        <v>95148</v>
      </c>
      <c r="MU3" s="37">
        <v>-36882</v>
      </c>
      <c r="MV3" s="36">
        <v>-388733959.27002001</v>
      </c>
      <c r="MW3" s="37">
        <v>58266</v>
      </c>
      <c r="MX3" s="38">
        <v>-0.38762770000000002</v>
      </c>
      <c r="MY3" s="37">
        <v>81797</v>
      </c>
      <c r="MZ3" s="37">
        <v>-32196</v>
      </c>
      <c r="NA3" s="36">
        <v>-340361237.23395997</v>
      </c>
      <c r="NB3" s="37">
        <v>49601</v>
      </c>
      <c r="NC3" s="38">
        <v>-0.39360860000000003</v>
      </c>
      <c r="ND3" s="37">
        <v>13213</v>
      </c>
      <c r="NE3" s="37">
        <v>-4548</v>
      </c>
      <c r="NF3" s="36">
        <v>-47062646.758790001</v>
      </c>
      <c r="NG3" s="37">
        <v>8665</v>
      </c>
      <c r="NH3" s="38">
        <v>-0.34420650000000003</v>
      </c>
      <c r="NI3" s="36">
        <v>948141323.02999997</v>
      </c>
      <c r="NJ3" s="36">
        <v>-177679864.99000001</v>
      </c>
      <c r="NK3" s="36">
        <v>-177679864.99000001</v>
      </c>
      <c r="NL3" s="36">
        <v>770461458.03999996</v>
      </c>
      <c r="NM3" s="38">
        <v>-0.18739809999999998</v>
      </c>
      <c r="NN3" s="37">
        <v>79.693060000000003</v>
      </c>
      <c r="NO3" s="36">
        <v>819393207.01999998</v>
      </c>
      <c r="NP3" s="36">
        <v>-161091675.97999999</v>
      </c>
      <c r="NQ3" s="36">
        <v>-161091675.97999999</v>
      </c>
      <c r="NR3" s="36">
        <v>658301531.03999996</v>
      </c>
      <c r="NS3" s="38">
        <v>-0.19659870000000002</v>
      </c>
      <c r="NT3" s="37">
        <v>79.114130000000003</v>
      </c>
      <c r="NU3" s="36">
        <v>128748116.01000001</v>
      </c>
      <c r="NV3" s="36">
        <v>-16588189.01</v>
      </c>
      <c r="NW3" s="36">
        <v>-16588189.01</v>
      </c>
      <c r="NX3" s="36">
        <v>112159927</v>
      </c>
      <c r="NY3" s="38">
        <v>-0.12884219999999999</v>
      </c>
      <c r="NZ3" s="37">
        <v>83.491</v>
      </c>
      <c r="OA3" s="36">
        <v>2204979.821</v>
      </c>
      <c r="OB3" s="36">
        <v>-352909.00839999999</v>
      </c>
      <c r="OC3" s="36"/>
      <c r="OD3" s="36">
        <v>1852070.8126000001</v>
      </c>
      <c r="OE3" s="38">
        <v>-0.1600509</v>
      </c>
      <c r="OF3" s="37">
        <v>79.508160000000004</v>
      </c>
      <c r="OG3" s="36">
        <v>1923458.2324399999</v>
      </c>
      <c r="OH3" s="36">
        <v>-333357.91592</v>
      </c>
      <c r="OI3" s="36"/>
      <c r="OJ3" s="36">
        <v>1590100.3165200001</v>
      </c>
      <c r="OK3" s="38">
        <v>-0.17331179999999999</v>
      </c>
      <c r="OL3" s="37">
        <v>78.574089999999998</v>
      </c>
      <c r="OM3" s="36">
        <v>305815.0024</v>
      </c>
      <c r="ON3" s="36">
        <v>-35550.118060000001</v>
      </c>
      <c r="OO3" s="36"/>
      <c r="OP3" s="36">
        <v>270264.88433999999</v>
      </c>
      <c r="OQ3" s="38">
        <v>-0.11624710000000001</v>
      </c>
      <c r="OR3" s="37">
        <v>81.750360000000001</v>
      </c>
      <c r="OS3" s="39">
        <v>221.29069999999999</v>
      </c>
      <c r="OT3" s="39">
        <v>-59.949350000000003</v>
      </c>
      <c r="OU3" s="36"/>
      <c r="OV3" s="39">
        <v>161.34135000000001</v>
      </c>
      <c r="OW3" s="38">
        <v>-0.27090769999999997</v>
      </c>
      <c r="OX3" s="37">
        <v>79.808989999999994</v>
      </c>
      <c r="OY3" s="39">
        <v>192.02347</v>
      </c>
      <c r="OZ3" s="39">
        <v>-53.612850000000002</v>
      </c>
      <c r="PA3" s="36"/>
      <c r="PB3" s="39">
        <v>138.41063</v>
      </c>
      <c r="PC3" s="38">
        <v>-0.27919939999999999</v>
      </c>
      <c r="PD3" s="37">
        <v>78.271969999999996</v>
      </c>
      <c r="PE3" s="39">
        <v>31.71734</v>
      </c>
      <c r="PF3" s="39">
        <v>-8.06433</v>
      </c>
      <c r="PG3" s="36"/>
      <c r="PH3" s="39">
        <v>23.653009999999998</v>
      </c>
      <c r="PI3" s="38">
        <v>-0.25425609999999998</v>
      </c>
      <c r="PJ3" s="37">
        <v>84.883560000000003</v>
      </c>
      <c r="PK3" s="36">
        <v>539266.81100999995</v>
      </c>
      <c r="PL3" s="36">
        <v>-86489.6005</v>
      </c>
      <c r="PM3" s="36"/>
      <c r="PN3" s="36">
        <v>452777.21049999999</v>
      </c>
      <c r="PO3" s="38">
        <v>-0.16038370000000002</v>
      </c>
      <c r="PP3" s="37"/>
      <c r="PQ3" s="39">
        <v>54.120550000000001</v>
      </c>
      <c r="PR3" s="39">
        <v>-14.67731</v>
      </c>
      <c r="PS3" s="36"/>
      <c r="PT3" s="39">
        <v>39.443249999999999</v>
      </c>
      <c r="PU3" s="38">
        <v>-0.27119660000000001</v>
      </c>
      <c r="PV3" s="37"/>
      <c r="PW3" s="37">
        <v>80991</v>
      </c>
      <c r="PX3" s="37">
        <v>-21573</v>
      </c>
      <c r="PY3" s="36">
        <v>-265209699.62354001</v>
      </c>
      <c r="PZ3" s="37">
        <v>59418</v>
      </c>
      <c r="QA3" s="38">
        <v>-0.26636290000000001</v>
      </c>
      <c r="QB3" s="37">
        <v>84.693920000000006</v>
      </c>
      <c r="QC3" s="37">
        <v>68907</v>
      </c>
      <c r="QD3" s="37">
        <v>-18567</v>
      </c>
      <c r="QE3" s="36">
        <v>0</v>
      </c>
      <c r="QF3" s="37">
        <v>50340</v>
      </c>
      <c r="QG3" s="38">
        <v>-0.26945010000000003</v>
      </c>
      <c r="QH3" s="37">
        <v>83.559430000000006</v>
      </c>
      <c r="QI3" s="37">
        <v>12084</v>
      </c>
      <c r="QJ3" s="37">
        <v>-3006</v>
      </c>
      <c r="QK3" s="36">
        <v>-34398746.320249997</v>
      </c>
      <c r="QL3" s="37">
        <v>9078</v>
      </c>
      <c r="QM3" s="38">
        <v>-0.2487587</v>
      </c>
      <c r="QN3" s="37">
        <v>90.113590000000002</v>
      </c>
      <c r="QO3" s="37">
        <v>18685753</v>
      </c>
      <c r="QP3" s="37">
        <v>-1833361</v>
      </c>
      <c r="QQ3" s="36">
        <v>-88421911.411139995</v>
      </c>
      <c r="QR3" s="37">
        <v>16852392</v>
      </c>
      <c r="QS3" s="38">
        <v>-9.8115400000000005E-2</v>
      </c>
      <c r="QT3" s="37">
        <v>100</v>
      </c>
      <c r="QU3" s="37">
        <v>11772767</v>
      </c>
      <c r="QV3" s="37">
        <v>-934378</v>
      </c>
      <c r="QW3" s="36">
        <v>0</v>
      </c>
      <c r="QX3" s="37">
        <v>10838389</v>
      </c>
      <c r="QY3" s="38">
        <v>-7.9367699999999999E-2</v>
      </c>
      <c r="QZ3" s="37">
        <v>100</v>
      </c>
      <c r="RA3" s="37">
        <v>6912986</v>
      </c>
      <c r="RB3" s="37">
        <v>-898983</v>
      </c>
      <c r="RC3" s="36">
        <v>-16754026.76024</v>
      </c>
      <c r="RD3" s="37">
        <v>6014003</v>
      </c>
      <c r="RE3" s="38">
        <v>-0.13004260000000001</v>
      </c>
      <c r="RF3" s="37">
        <v>100</v>
      </c>
    </row>
    <row r="4" spans="1:474" x14ac:dyDescent="0.25">
      <c r="A4" s="1" t="s">
        <v>505</v>
      </c>
      <c r="B4" s="1" t="s">
        <v>514</v>
      </c>
      <c r="C4" s="34">
        <v>0.16284289999999998</v>
      </c>
      <c r="D4" s="35">
        <v>-0.79635</v>
      </c>
      <c r="E4" s="36"/>
      <c r="F4" s="34">
        <v>0.1548794</v>
      </c>
      <c r="G4" s="35">
        <v>-0.79635</v>
      </c>
      <c r="H4" s="37">
        <v>103.8292</v>
      </c>
      <c r="I4" s="37">
        <v>430</v>
      </c>
      <c r="J4" s="37">
        <v>-18</v>
      </c>
      <c r="K4" s="36">
        <v>0</v>
      </c>
      <c r="L4" s="37">
        <v>412</v>
      </c>
      <c r="M4" s="38">
        <v>-4.1860499999999995E-2</v>
      </c>
      <c r="N4" s="37">
        <v>99.268780000000007</v>
      </c>
      <c r="O4" s="37">
        <v>423</v>
      </c>
      <c r="P4" s="37">
        <v>-19</v>
      </c>
      <c r="Q4" s="36"/>
      <c r="R4" s="37">
        <v>404</v>
      </c>
      <c r="S4" s="38">
        <v>-4.4917299999999993E-2</v>
      </c>
      <c r="T4" s="37">
        <v>98.952079999999995</v>
      </c>
      <c r="U4" s="37">
        <v>430</v>
      </c>
      <c r="V4" s="37">
        <v>-16</v>
      </c>
      <c r="W4" s="36"/>
      <c r="X4" s="37">
        <v>414</v>
      </c>
      <c r="Y4" s="38">
        <v>-3.7209300000000001E-2</v>
      </c>
      <c r="Z4" s="37">
        <v>99.75067</v>
      </c>
      <c r="AA4" s="37">
        <v>105089</v>
      </c>
      <c r="AB4" s="37">
        <v>-25879</v>
      </c>
      <c r="AC4" s="36">
        <v>-142474839.58985999</v>
      </c>
      <c r="AD4" s="37">
        <v>79210</v>
      </c>
      <c r="AE4" s="38">
        <v>-0.24625789999999997</v>
      </c>
      <c r="AF4" s="37">
        <v>85.146320000000003</v>
      </c>
      <c r="AG4" s="37">
        <v>3392279</v>
      </c>
      <c r="AH4" s="37">
        <v>-144181</v>
      </c>
      <c r="AI4" s="36">
        <v>-21888608.566610001</v>
      </c>
      <c r="AJ4" s="37">
        <v>3248098</v>
      </c>
      <c r="AK4" s="38">
        <v>-4.2502700000000004E-2</v>
      </c>
      <c r="AL4" s="37">
        <v>100</v>
      </c>
      <c r="AM4" s="36">
        <v>-14341634.50633</v>
      </c>
      <c r="AN4" s="38">
        <v>-2.36577E-2</v>
      </c>
      <c r="AO4" s="36">
        <v>-13957419.91471</v>
      </c>
      <c r="AP4" s="38">
        <v>-2.8932600000000003E-2</v>
      </c>
      <c r="AQ4" s="36">
        <v>4467956.9491600003</v>
      </c>
      <c r="AR4" s="38">
        <v>3.8289400000000001E-2</v>
      </c>
      <c r="AS4" s="36">
        <v>3217302</v>
      </c>
      <c r="AT4" s="36">
        <v>-3217302</v>
      </c>
      <c r="AU4" s="36">
        <v>-3217302</v>
      </c>
      <c r="AV4" s="36">
        <v>1872658</v>
      </c>
      <c r="AW4" s="36">
        <v>-1872658</v>
      </c>
      <c r="AX4" s="36">
        <v>-1872658</v>
      </c>
      <c r="AY4" s="36">
        <v>11601895</v>
      </c>
      <c r="AZ4" s="36">
        <v>-11601895</v>
      </c>
      <c r="BA4" s="36">
        <v>-11601895</v>
      </c>
      <c r="BB4" s="36">
        <v>26100920.480900001</v>
      </c>
      <c r="BC4" s="34">
        <v>4.4536300000000001E-2</v>
      </c>
      <c r="BD4" s="36">
        <v>20679257.055360001</v>
      </c>
      <c r="BE4" s="34">
        <v>4.44588E-2</v>
      </c>
      <c r="BF4" s="36">
        <v>5372476.8041000003</v>
      </c>
      <c r="BG4" s="34">
        <v>4.6217599999999998E-2</v>
      </c>
      <c r="BH4" s="34">
        <v>0.99069999999999991</v>
      </c>
      <c r="BI4" s="35">
        <v>-0.66300000000000003</v>
      </c>
      <c r="BJ4" s="36"/>
      <c r="BK4" s="34">
        <v>0.98406000000000005</v>
      </c>
      <c r="BL4" s="35">
        <v>-0.66300000000000003</v>
      </c>
      <c r="BM4" s="37"/>
      <c r="BN4" s="39">
        <v>1.2174700000000001</v>
      </c>
      <c r="BO4" s="39">
        <v>-9.3900000000000008E-3</v>
      </c>
      <c r="BP4" s="36">
        <v>-3903294.8337900001</v>
      </c>
      <c r="BQ4" s="39">
        <v>1.20808</v>
      </c>
      <c r="BR4" s="38">
        <v>-7.7152000000000002E-3</v>
      </c>
      <c r="BS4" s="37">
        <v>100.47057</v>
      </c>
      <c r="BT4" s="36">
        <v>38700440</v>
      </c>
      <c r="BU4" s="36">
        <v>-5981350.9800000004</v>
      </c>
      <c r="BV4" s="36"/>
      <c r="BW4" s="36">
        <v>34207473</v>
      </c>
      <c r="BX4" s="36">
        <v>-5382149</v>
      </c>
      <c r="BY4" s="36"/>
      <c r="BZ4" s="36">
        <v>28825324</v>
      </c>
      <c r="CA4" s="34">
        <v>-0.15733840000000002</v>
      </c>
      <c r="CB4" s="37"/>
      <c r="CC4" s="36">
        <v>4492967</v>
      </c>
      <c r="CD4" s="36">
        <v>-599201.98</v>
      </c>
      <c r="CE4" s="36"/>
      <c r="CF4" s="36">
        <v>3893765.02</v>
      </c>
      <c r="CG4" s="34">
        <v>-0.13336439999999999</v>
      </c>
      <c r="CH4" s="37"/>
      <c r="CI4" s="36">
        <v>32719089.02</v>
      </c>
      <c r="CJ4" s="34">
        <v>-0.1545551</v>
      </c>
      <c r="CK4" s="37"/>
      <c r="CL4" s="36">
        <v>233.44175000000001</v>
      </c>
      <c r="CM4" s="36">
        <v>33.358829999999998</v>
      </c>
      <c r="CN4" s="36"/>
      <c r="CO4" s="36">
        <v>267.36493999999999</v>
      </c>
      <c r="CP4" s="36">
        <v>33.865290000000002</v>
      </c>
      <c r="CQ4" s="36"/>
      <c r="CR4" s="36">
        <v>301.23023999999998</v>
      </c>
      <c r="CS4" s="38">
        <v>0.1266632</v>
      </c>
      <c r="CT4" s="37"/>
      <c r="CU4" s="36">
        <v>118.73905000000001</v>
      </c>
      <c r="CV4" s="36">
        <v>25.77956</v>
      </c>
      <c r="CW4" s="36"/>
      <c r="CX4" s="36">
        <v>144.51861</v>
      </c>
      <c r="CY4" s="38">
        <v>0.2171111</v>
      </c>
      <c r="CZ4" s="37"/>
      <c r="DA4" s="36">
        <v>266.80058000000002</v>
      </c>
      <c r="DB4" s="38">
        <v>0.1429</v>
      </c>
      <c r="DC4" s="37"/>
      <c r="DD4" s="36">
        <v>165258.39146000001</v>
      </c>
      <c r="DE4" s="36">
        <v>14611.98797</v>
      </c>
      <c r="DF4" s="36"/>
      <c r="DG4" s="36">
        <v>179870.37943</v>
      </c>
      <c r="DH4" s="38">
        <v>8.8419000000000011E-2</v>
      </c>
      <c r="DI4" s="37"/>
      <c r="DJ4" s="36">
        <v>91933.563829999999</v>
      </c>
      <c r="DK4" s="36">
        <v>6585.8402699999997</v>
      </c>
      <c r="DL4" s="36"/>
      <c r="DM4" s="36">
        <v>98519.4041</v>
      </c>
      <c r="DN4" s="38">
        <v>7.1637000000000006E-2</v>
      </c>
      <c r="DO4" s="37"/>
      <c r="DP4" s="36">
        <v>148522.32751999999</v>
      </c>
      <c r="DQ4" s="36">
        <v>13475.1826</v>
      </c>
      <c r="DR4" s="36"/>
      <c r="DS4" s="36">
        <v>161997.51011999999</v>
      </c>
      <c r="DT4" s="38">
        <v>9.0728299999999998E-2</v>
      </c>
      <c r="DU4" s="37"/>
      <c r="DV4" s="36">
        <v>325.50954999999999</v>
      </c>
      <c r="DW4" s="36">
        <v>38.40061</v>
      </c>
      <c r="DX4" s="36"/>
      <c r="DY4" s="36">
        <v>363.91016000000002</v>
      </c>
      <c r="DZ4" s="34">
        <v>0.11797079999999999</v>
      </c>
      <c r="EA4" s="37"/>
      <c r="EB4" s="36">
        <v>201197.59802999999</v>
      </c>
      <c r="EC4" s="36">
        <v>16100.1718</v>
      </c>
      <c r="ED4" s="36"/>
      <c r="EE4" s="36">
        <v>217297.76983</v>
      </c>
      <c r="EF4" s="38">
        <v>8.0021700000000001E-2</v>
      </c>
      <c r="EG4" s="37"/>
      <c r="EH4" s="36">
        <v>21143654378.990002</v>
      </c>
      <c r="EI4" s="36">
        <v>-3931498030.6799998</v>
      </c>
      <c r="EJ4" s="36"/>
      <c r="EK4" s="36">
        <v>17212156348.310001</v>
      </c>
      <c r="EL4" s="38">
        <v>-0.1859422</v>
      </c>
      <c r="EM4" s="37"/>
      <c r="EN4" s="36">
        <v>3478674121.9400001</v>
      </c>
      <c r="EO4" s="36">
        <v>-824265817.13999999</v>
      </c>
      <c r="EP4" s="36"/>
      <c r="EQ4" s="36">
        <v>2654408304.8000002</v>
      </c>
      <c r="ER4" s="38">
        <v>-0.2369483</v>
      </c>
      <c r="ES4" s="37"/>
      <c r="ET4" s="36">
        <v>24622328500.93</v>
      </c>
      <c r="EU4" s="36">
        <v>-4755763847.8199997</v>
      </c>
      <c r="EV4" s="36"/>
      <c r="EW4" s="36">
        <v>19866564653.110001</v>
      </c>
      <c r="EX4" s="38">
        <v>-0.1931484</v>
      </c>
      <c r="EY4" s="37"/>
      <c r="EZ4" s="36">
        <v>5233.3960699999998</v>
      </c>
      <c r="FA4" s="36">
        <v>581.6164</v>
      </c>
      <c r="FB4" s="36">
        <v>53109617.429860003</v>
      </c>
      <c r="FC4" s="36">
        <v>5815.0124699999997</v>
      </c>
      <c r="FD4" s="38">
        <v>0.1111356</v>
      </c>
      <c r="FE4" s="37">
        <v>96.860219999999998</v>
      </c>
      <c r="FF4" s="36">
        <v>5719.2502100000002</v>
      </c>
      <c r="FG4" s="36">
        <v>546.21761000000004</v>
      </c>
      <c r="FH4" s="36">
        <v>6265.4678199999998</v>
      </c>
      <c r="FI4" s="38">
        <v>9.5505099999999996E-2</v>
      </c>
      <c r="FJ4" s="37">
        <v>99.145020000000002</v>
      </c>
      <c r="FK4" s="36">
        <v>4190.9315399999996</v>
      </c>
      <c r="FL4" s="36">
        <v>534.57861000000003</v>
      </c>
      <c r="FM4" s="36">
        <v>76281997.794100001</v>
      </c>
      <c r="FN4" s="36">
        <v>4725.5101599999998</v>
      </c>
      <c r="FO4" s="38">
        <v>0.127556</v>
      </c>
      <c r="FP4" s="37">
        <v>95.787729999999996</v>
      </c>
      <c r="FQ4" s="36">
        <v>4298.5732699999999</v>
      </c>
      <c r="FR4" s="36">
        <v>514.86085000000003</v>
      </c>
      <c r="FS4" s="36">
        <v>57012912.26365</v>
      </c>
      <c r="FT4" s="36">
        <v>4813.4341199999999</v>
      </c>
      <c r="FU4" s="38">
        <v>0.1197748</v>
      </c>
      <c r="FV4" s="37">
        <v>96.406570000000002</v>
      </c>
      <c r="FW4" s="36">
        <v>3826.9682899999998</v>
      </c>
      <c r="FX4" s="36">
        <v>586.26706000000001</v>
      </c>
      <c r="FY4" s="36">
        <v>18733690.942340001</v>
      </c>
      <c r="FZ4" s="36">
        <v>4413.2353499999999</v>
      </c>
      <c r="GA4" s="38">
        <v>0.15319359999999999</v>
      </c>
      <c r="GB4" s="37">
        <v>92.137029999999996</v>
      </c>
      <c r="GC4" s="37">
        <v>27</v>
      </c>
      <c r="GD4" s="37">
        <v>-5</v>
      </c>
      <c r="GE4" s="36"/>
      <c r="GF4" s="37">
        <v>22</v>
      </c>
      <c r="GG4" s="38">
        <v>-0.18518519999999999</v>
      </c>
      <c r="GH4" s="37"/>
      <c r="GI4" s="37">
        <v>27</v>
      </c>
      <c r="GJ4" s="37">
        <v>-5</v>
      </c>
      <c r="GK4" s="36"/>
      <c r="GL4" s="37">
        <v>22</v>
      </c>
      <c r="GM4" s="38">
        <v>-0.18518519999999999</v>
      </c>
      <c r="GN4" s="37"/>
      <c r="GO4" s="37">
        <v>27</v>
      </c>
      <c r="GP4" s="37">
        <v>-5</v>
      </c>
      <c r="GQ4" s="36"/>
      <c r="GR4" s="37">
        <v>22</v>
      </c>
      <c r="GS4" s="38">
        <v>-0.18518519999999999</v>
      </c>
      <c r="GT4" s="37"/>
      <c r="GU4" s="34">
        <v>0.15928059999999999</v>
      </c>
      <c r="GV4" s="35">
        <v>-2.8987699999999998</v>
      </c>
      <c r="GW4" s="36"/>
      <c r="GX4" s="34">
        <v>0.13029289999999999</v>
      </c>
      <c r="GY4" s="35">
        <v>-2.8987699999999998</v>
      </c>
      <c r="GZ4" s="37"/>
      <c r="HA4" s="34">
        <v>0.1482088</v>
      </c>
      <c r="HB4" s="35">
        <v>-2.5976699999999999</v>
      </c>
      <c r="HC4" s="36"/>
      <c r="HD4" s="34">
        <v>0.1222321</v>
      </c>
      <c r="HE4" s="35">
        <v>-2.5976699999999999</v>
      </c>
      <c r="HF4" s="37"/>
      <c r="HG4" s="34">
        <v>0.22237229999999999</v>
      </c>
      <c r="HH4" s="35">
        <v>-4.7374700000000001</v>
      </c>
      <c r="HI4" s="36"/>
      <c r="HJ4" s="34">
        <v>0.17499759999999998</v>
      </c>
      <c r="HK4" s="35">
        <v>-4.7374700000000001</v>
      </c>
      <c r="HL4" s="37"/>
      <c r="HM4" s="34">
        <v>0.41060439999999998</v>
      </c>
      <c r="HN4" s="35">
        <v>-6.2791199999999998</v>
      </c>
      <c r="HO4" s="36"/>
      <c r="HP4" s="34">
        <v>0.34781319999999999</v>
      </c>
      <c r="HQ4" s="35">
        <v>-6.2791199999999998</v>
      </c>
      <c r="HR4" s="37"/>
      <c r="HS4" s="34">
        <v>0.39263530000000002</v>
      </c>
      <c r="HT4" s="35">
        <v>-5.96922</v>
      </c>
      <c r="HU4" s="36"/>
      <c r="HV4" s="34">
        <v>0.33294319999999999</v>
      </c>
      <c r="HW4" s="35">
        <v>-5.96922</v>
      </c>
      <c r="HX4" s="37"/>
      <c r="HY4" s="34">
        <v>0.49621490000000001</v>
      </c>
      <c r="HZ4" s="35">
        <v>-7.4141700000000004</v>
      </c>
      <c r="IA4" s="36"/>
      <c r="IB4" s="34">
        <v>0.42207320000000004</v>
      </c>
      <c r="IC4" s="35">
        <v>-7.4141700000000004</v>
      </c>
      <c r="ID4" s="37"/>
      <c r="IE4" s="34">
        <v>8.8721000000000008E-3</v>
      </c>
      <c r="IF4" s="35">
        <v>-0.15951000000000001</v>
      </c>
      <c r="IG4" s="36">
        <v>-125932549.5863</v>
      </c>
      <c r="IH4" s="34">
        <v>7.2770000000000005E-3</v>
      </c>
      <c r="II4" s="35">
        <v>-0.15951000000000001</v>
      </c>
      <c r="IJ4" s="37">
        <v>85.397940000000006</v>
      </c>
      <c r="IK4" s="34">
        <v>1.0867700000000001E-2</v>
      </c>
      <c r="IL4" s="35">
        <v>-0.20387</v>
      </c>
      <c r="IM4" s="36">
        <v>0</v>
      </c>
      <c r="IN4" s="34">
        <v>8.829E-3</v>
      </c>
      <c r="IO4" s="35">
        <v>-0.20387</v>
      </c>
      <c r="IP4" s="37">
        <v>85.547280000000001</v>
      </c>
      <c r="IQ4" s="34">
        <v>5.4735999999999995E-3</v>
      </c>
      <c r="IR4" s="35">
        <v>-9.9360000000000004E-2</v>
      </c>
      <c r="IS4" s="36">
        <v>-26326596.828170002</v>
      </c>
      <c r="IT4" s="34">
        <v>4.4800000000000005E-3</v>
      </c>
      <c r="IU4" s="35">
        <v>-9.9360000000000004E-2</v>
      </c>
      <c r="IV4" s="37">
        <v>85.410780000000003</v>
      </c>
      <c r="IW4" s="34">
        <v>0.3705118</v>
      </c>
      <c r="IX4" s="35">
        <v>-5.5034700000000001</v>
      </c>
      <c r="IY4" s="36"/>
      <c r="IZ4" s="34">
        <v>0.31547710000000001</v>
      </c>
      <c r="JA4" s="35">
        <v>-5.5034700000000001</v>
      </c>
      <c r="JB4" s="37"/>
      <c r="JC4" s="34">
        <v>6.2851100000000007E-2</v>
      </c>
      <c r="JD4" s="35">
        <v>-1.1226400000000001</v>
      </c>
      <c r="JE4" s="36"/>
      <c r="JF4" s="34">
        <v>5.1624699999999996E-2</v>
      </c>
      <c r="JG4" s="35">
        <v>-1.1226400000000001</v>
      </c>
      <c r="JH4" s="37">
        <v>86.528790000000001</v>
      </c>
      <c r="JI4" s="34">
        <v>3.09789E-2</v>
      </c>
      <c r="JJ4" s="35">
        <v>-0.65922999999999998</v>
      </c>
      <c r="JK4" s="36">
        <v>-120586231.02325</v>
      </c>
      <c r="JL4" s="34">
        <v>2.4386600000000001E-2</v>
      </c>
      <c r="JM4" s="35">
        <v>-0.65922999999999998</v>
      </c>
      <c r="JN4" s="37">
        <v>85.14631</v>
      </c>
      <c r="JO4" s="36">
        <v>2939.45361</v>
      </c>
      <c r="JP4" s="36">
        <v>343.10608999999999</v>
      </c>
      <c r="JQ4" s="36">
        <v>70148625.791649997</v>
      </c>
      <c r="JR4" s="36">
        <v>3282.5596999999998</v>
      </c>
      <c r="JS4" s="38">
        <v>0.11672440000000001</v>
      </c>
      <c r="JT4" s="37">
        <v>96.568489999999997</v>
      </c>
      <c r="JU4" s="36">
        <v>2944.01991</v>
      </c>
      <c r="JV4" s="36">
        <v>327.31437</v>
      </c>
      <c r="JW4" s="36">
        <v>53129501.50096</v>
      </c>
      <c r="JX4" s="36">
        <v>3271.33428</v>
      </c>
      <c r="JY4" s="38">
        <v>0.11117940000000001</v>
      </c>
      <c r="JZ4" s="37">
        <v>97.259180000000001</v>
      </c>
      <c r="KA4" s="36">
        <v>2922.2394399999998</v>
      </c>
      <c r="KB4" s="36">
        <v>404.54138</v>
      </c>
      <c r="KC4" s="36">
        <v>17040809.22569</v>
      </c>
      <c r="KD4" s="36">
        <v>3326.7808199999999</v>
      </c>
      <c r="KE4" s="38">
        <v>0.13843540000000001</v>
      </c>
      <c r="KF4" s="37">
        <v>92.519509999999997</v>
      </c>
      <c r="KG4" s="37">
        <v>4</v>
      </c>
      <c r="KH4" s="37">
        <v>0</v>
      </c>
      <c r="KI4" s="36"/>
      <c r="KJ4" s="37">
        <v>4</v>
      </c>
      <c r="KK4" s="38">
        <v>0</v>
      </c>
      <c r="KL4" s="37">
        <v>100</v>
      </c>
      <c r="KM4" s="37">
        <v>4</v>
      </c>
      <c r="KN4" s="37">
        <v>0</v>
      </c>
      <c r="KO4" s="36"/>
      <c r="KP4" s="37">
        <v>4</v>
      </c>
      <c r="KQ4" s="38">
        <v>0</v>
      </c>
      <c r="KR4" s="37">
        <v>100</v>
      </c>
      <c r="KS4" s="37">
        <v>4</v>
      </c>
      <c r="KT4" s="37">
        <v>0</v>
      </c>
      <c r="KU4" s="36"/>
      <c r="KV4" s="37">
        <v>4</v>
      </c>
      <c r="KW4" s="38">
        <v>0</v>
      </c>
      <c r="KX4" s="37">
        <v>100</v>
      </c>
      <c r="KY4" s="37">
        <v>236364</v>
      </c>
      <c r="KZ4" s="37">
        <v>-59821</v>
      </c>
      <c r="LA4" s="37">
        <v>176543</v>
      </c>
      <c r="LB4" s="38">
        <v>-0.25308849999999999</v>
      </c>
      <c r="LC4" s="37">
        <v>84.707610000000003</v>
      </c>
      <c r="LD4" s="37">
        <v>186810</v>
      </c>
      <c r="LE4" s="37">
        <v>-46009</v>
      </c>
      <c r="LF4" s="37">
        <v>140801</v>
      </c>
      <c r="LG4" s="38">
        <v>-0.2462877</v>
      </c>
      <c r="LH4" s="37">
        <v>84.797049999999999</v>
      </c>
      <c r="LI4" s="37">
        <v>49554</v>
      </c>
      <c r="LJ4" s="37">
        <v>-13812</v>
      </c>
      <c r="LK4" s="37">
        <v>35742</v>
      </c>
      <c r="LL4" s="38">
        <v>-0.27872620000000004</v>
      </c>
      <c r="LM4" s="37">
        <v>85.058549999999997</v>
      </c>
      <c r="LN4" s="39">
        <v>1.7776400000000001</v>
      </c>
      <c r="LO4" s="39">
        <v>-6.9999999999999994E-5</v>
      </c>
      <c r="LP4" s="39">
        <v>1.7775700000000001</v>
      </c>
      <c r="LQ4" s="38">
        <v>-3.9500000000000005E-5</v>
      </c>
      <c r="LR4" s="37">
        <v>99.589799999999997</v>
      </c>
      <c r="LS4" s="39">
        <v>1.4601</v>
      </c>
      <c r="LT4" s="39">
        <v>1.129E-2</v>
      </c>
      <c r="LU4" s="36">
        <v>3883410.7626899998</v>
      </c>
      <c r="LV4" s="39">
        <v>1.4714</v>
      </c>
      <c r="LW4" s="38">
        <v>7.7353999999999999E-3</v>
      </c>
      <c r="LX4" s="37">
        <v>99.123360000000005</v>
      </c>
      <c r="LY4" s="39">
        <v>1.4257500000000001</v>
      </c>
      <c r="LZ4" s="39">
        <v>1.383E-2</v>
      </c>
      <c r="MA4" s="36">
        <v>6133372.0024499996</v>
      </c>
      <c r="MB4" s="39">
        <v>1.4395800000000001</v>
      </c>
      <c r="MC4" s="38">
        <v>9.6994000000000004E-3</v>
      </c>
      <c r="MD4" s="37">
        <v>99.191500000000005</v>
      </c>
      <c r="ME4" s="39">
        <v>1.3096000000000001</v>
      </c>
      <c r="MF4" s="39">
        <v>1.6979999999999999E-2</v>
      </c>
      <c r="MG4" s="36">
        <v>1692881.71664</v>
      </c>
      <c r="MH4" s="39">
        <v>1.3265800000000001</v>
      </c>
      <c r="MI4" s="38">
        <v>1.2963599999999999E-2</v>
      </c>
      <c r="MJ4" s="37">
        <v>99.586590000000001</v>
      </c>
      <c r="MK4" s="36">
        <v>64395547</v>
      </c>
      <c r="ML4" s="36">
        <v>64395547</v>
      </c>
      <c r="MM4" s="36">
        <v>64395547</v>
      </c>
      <c r="MN4" s="36">
        <v>51179027</v>
      </c>
      <c r="MO4" s="36">
        <v>51179027</v>
      </c>
      <c r="MP4" s="36">
        <v>51179027</v>
      </c>
      <c r="MQ4" s="36">
        <v>13232640</v>
      </c>
      <c r="MR4" s="36">
        <v>13232640</v>
      </c>
      <c r="MS4" s="36">
        <v>13232640</v>
      </c>
      <c r="MT4" s="37">
        <v>235757</v>
      </c>
      <c r="MU4" s="37">
        <v>-63565</v>
      </c>
      <c r="MV4" s="36">
        <v>-188205606.09457001</v>
      </c>
      <c r="MW4" s="37">
        <v>172192</v>
      </c>
      <c r="MX4" s="38">
        <v>-0.26962079999999999</v>
      </c>
      <c r="MY4" s="37">
        <v>186480</v>
      </c>
      <c r="MZ4" s="37">
        <v>-49136</v>
      </c>
      <c r="NA4" s="36">
        <v>-145393428.30063999</v>
      </c>
      <c r="NB4" s="37">
        <v>137344</v>
      </c>
      <c r="NC4" s="38">
        <v>-0.26349210000000001</v>
      </c>
      <c r="ND4" s="37">
        <v>47715</v>
      </c>
      <c r="NE4" s="37">
        <v>-12869</v>
      </c>
      <c r="NF4" s="36">
        <v>-37374031.713260002</v>
      </c>
      <c r="NG4" s="37">
        <v>34846</v>
      </c>
      <c r="NH4" s="38">
        <v>-0.26970549999999999</v>
      </c>
      <c r="NI4" s="36">
        <v>694781013.09000003</v>
      </c>
      <c r="NJ4" s="36">
        <v>-115268075.12</v>
      </c>
      <c r="NK4" s="36">
        <v>-115268075.12</v>
      </c>
      <c r="NL4" s="36">
        <v>579512937.97000003</v>
      </c>
      <c r="NM4" s="38">
        <v>-0.16590559999999999</v>
      </c>
      <c r="NN4" s="37">
        <v>81.80086</v>
      </c>
      <c r="NO4" s="36">
        <v>549972360.10000002</v>
      </c>
      <c r="NP4" s="36">
        <v>-89365222.159999996</v>
      </c>
      <c r="NQ4" s="36">
        <v>-89365222.159999996</v>
      </c>
      <c r="NR4" s="36">
        <v>460607137.94</v>
      </c>
      <c r="NS4" s="38">
        <v>-0.16249040000000001</v>
      </c>
      <c r="NT4" s="37">
        <v>82.472909999999999</v>
      </c>
      <c r="NU4" s="36">
        <v>144808652.99000001</v>
      </c>
      <c r="NV4" s="36">
        <v>-25902852.960000001</v>
      </c>
      <c r="NW4" s="36">
        <v>-25902852.960000001</v>
      </c>
      <c r="NX4" s="36">
        <v>118905800.03</v>
      </c>
      <c r="NY4" s="38">
        <v>-0.17887640000000002</v>
      </c>
      <c r="NZ4" s="37">
        <v>78.695760000000007</v>
      </c>
      <c r="OA4" s="36">
        <v>1615769.79788</v>
      </c>
      <c r="OB4" s="36">
        <v>-215980.09263999999</v>
      </c>
      <c r="OC4" s="36"/>
      <c r="OD4" s="36">
        <v>1399789.70524</v>
      </c>
      <c r="OE4" s="38">
        <v>-0.13367010000000001</v>
      </c>
      <c r="OF4" s="37">
        <v>82.005319999999998</v>
      </c>
      <c r="OG4" s="36">
        <v>1279005.4886</v>
      </c>
      <c r="OH4" s="36">
        <v>-161026.99846</v>
      </c>
      <c r="OI4" s="36"/>
      <c r="OJ4" s="36">
        <v>1117978.49015</v>
      </c>
      <c r="OK4" s="38">
        <v>-0.12590020000000002</v>
      </c>
      <c r="OL4" s="37">
        <v>83.080410000000001</v>
      </c>
      <c r="OM4" s="36">
        <v>342337.24111</v>
      </c>
      <c r="ON4" s="36">
        <v>-48015.953909999997</v>
      </c>
      <c r="OO4" s="36"/>
      <c r="OP4" s="36">
        <v>294321.28720000002</v>
      </c>
      <c r="OQ4" s="38">
        <v>-0.1402592</v>
      </c>
      <c r="OR4" s="37">
        <v>79.529160000000005</v>
      </c>
      <c r="OS4" s="39">
        <v>549.68371999999999</v>
      </c>
      <c r="OT4" s="39">
        <v>-123.25135</v>
      </c>
      <c r="OU4" s="36"/>
      <c r="OV4" s="39">
        <v>426.43236999999999</v>
      </c>
      <c r="OW4" s="38">
        <v>-0.22422229999999999</v>
      </c>
      <c r="OX4" s="37">
        <v>84.919340000000005</v>
      </c>
      <c r="OY4" s="39">
        <v>434.44186000000002</v>
      </c>
      <c r="OZ4" s="39">
        <v>-92.691860000000005</v>
      </c>
      <c r="PA4" s="36"/>
      <c r="PB4" s="39">
        <v>341.75</v>
      </c>
      <c r="PC4" s="38">
        <v>-0.21335850000000001</v>
      </c>
      <c r="PD4" s="37">
        <v>85.421670000000006</v>
      </c>
      <c r="PE4" s="39">
        <v>117.14894</v>
      </c>
      <c r="PF4" s="39">
        <v>-28.678640000000001</v>
      </c>
      <c r="PG4" s="36"/>
      <c r="PH4" s="39">
        <v>88.470299999999995</v>
      </c>
      <c r="PI4" s="38">
        <v>-0.24480489999999999</v>
      </c>
      <c r="PJ4" s="37">
        <v>85.959339999999997</v>
      </c>
      <c r="PK4" s="36">
        <v>394877.88975999999</v>
      </c>
      <c r="PL4" s="36">
        <v>-53090.30762</v>
      </c>
      <c r="PM4" s="36"/>
      <c r="PN4" s="36">
        <v>341787.58214000001</v>
      </c>
      <c r="PO4" s="38">
        <v>-0.13444739999999999</v>
      </c>
      <c r="PP4" s="37"/>
      <c r="PQ4" s="39">
        <v>134.33716999999999</v>
      </c>
      <c r="PR4" s="39">
        <v>-30.2149</v>
      </c>
      <c r="PS4" s="36"/>
      <c r="PT4" s="39">
        <v>104.12227</v>
      </c>
      <c r="PU4" s="38">
        <v>-0.22491839999999999</v>
      </c>
      <c r="PV4" s="37"/>
      <c r="PW4" s="37">
        <v>165782</v>
      </c>
      <c r="PX4" s="37">
        <v>-43147</v>
      </c>
      <c r="PY4" s="36">
        <v>-191550072.91409999</v>
      </c>
      <c r="PZ4" s="37">
        <v>122635</v>
      </c>
      <c r="QA4" s="38">
        <v>-0.26026349999999998</v>
      </c>
      <c r="QB4" s="37">
        <v>85.398060000000001</v>
      </c>
      <c r="QC4" s="37">
        <v>127943</v>
      </c>
      <c r="QD4" s="37">
        <v>-32251</v>
      </c>
      <c r="QE4" s="36">
        <v>0</v>
      </c>
      <c r="QF4" s="37">
        <v>95692</v>
      </c>
      <c r="QG4" s="38">
        <v>-0.2520732</v>
      </c>
      <c r="QH4" s="37">
        <v>85.546989999999994</v>
      </c>
      <c r="QI4" s="37">
        <v>37839</v>
      </c>
      <c r="QJ4" s="37">
        <v>-10896</v>
      </c>
      <c r="QK4" s="36">
        <v>-44636543.902340002</v>
      </c>
      <c r="QL4" s="37">
        <v>26943</v>
      </c>
      <c r="QM4" s="38">
        <v>-0.28795690000000002</v>
      </c>
      <c r="QN4" s="37">
        <v>85.411649999999995</v>
      </c>
      <c r="QO4" s="37">
        <v>18685753</v>
      </c>
      <c r="QP4" s="37">
        <v>-1833361</v>
      </c>
      <c r="QQ4" s="36">
        <v>-65617523.327799998</v>
      </c>
      <c r="QR4" s="37">
        <v>16852392</v>
      </c>
      <c r="QS4" s="38">
        <v>-9.8115400000000005E-2</v>
      </c>
      <c r="QT4" s="37">
        <v>100</v>
      </c>
      <c r="QU4" s="37">
        <v>11772767</v>
      </c>
      <c r="QV4" s="37">
        <v>-934378</v>
      </c>
      <c r="QW4" s="36">
        <v>0</v>
      </c>
      <c r="QX4" s="37">
        <v>10838389</v>
      </c>
      <c r="QY4" s="38">
        <v>-7.9367699999999999E-2</v>
      </c>
      <c r="QZ4" s="37">
        <v>100</v>
      </c>
      <c r="RA4" s="37">
        <v>6912986</v>
      </c>
      <c r="RB4" s="37">
        <v>-898983</v>
      </c>
      <c r="RC4" s="36">
        <v>-18309947.074170001</v>
      </c>
      <c r="RD4" s="37">
        <v>6014003</v>
      </c>
      <c r="RE4" s="38">
        <v>-0.13004260000000001</v>
      </c>
      <c r="RF4" s="37">
        <v>100</v>
      </c>
    </row>
    <row r="5" spans="1:474" x14ac:dyDescent="0.25">
      <c r="A5" s="1" t="s">
        <v>505</v>
      </c>
      <c r="B5" s="1" t="s">
        <v>510</v>
      </c>
      <c r="C5" s="34">
        <v>4.3845999999999996E-2</v>
      </c>
      <c r="D5" s="35">
        <v>-0.33554</v>
      </c>
      <c r="E5" s="36"/>
      <c r="F5" s="34">
        <v>4.0490600000000002E-2</v>
      </c>
      <c r="G5" s="35">
        <v>-0.33554</v>
      </c>
      <c r="H5" s="37">
        <v>100.81355000000001</v>
      </c>
      <c r="I5" s="37">
        <v>367</v>
      </c>
      <c r="J5" s="37">
        <v>24</v>
      </c>
      <c r="K5" s="36">
        <v>0</v>
      </c>
      <c r="L5" s="37">
        <v>391</v>
      </c>
      <c r="M5" s="38">
        <v>6.5395099999999998E-2</v>
      </c>
      <c r="N5" s="37">
        <v>110.38108</v>
      </c>
      <c r="O5" s="37">
        <v>351</v>
      </c>
      <c r="P5" s="37">
        <v>4</v>
      </c>
      <c r="Q5" s="36"/>
      <c r="R5" s="37">
        <v>355</v>
      </c>
      <c r="S5" s="38">
        <v>1.1396E-2</v>
      </c>
      <c r="T5" s="37">
        <v>104.78646000000001</v>
      </c>
      <c r="U5" s="37">
        <v>369</v>
      </c>
      <c r="V5" s="37">
        <v>28</v>
      </c>
      <c r="W5" s="36"/>
      <c r="X5" s="37">
        <v>397</v>
      </c>
      <c r="Y5" s="38">
        <v>7.5880799999999998E-2</v>
      </c>
      <c r="Z5" s="37">
        <v>111.46745</v>
      </c>
      <c r="AA5" s="37">
        <v>12886</v>
      </c>
      <c r="AB5" s="37">
        <v>-167</v>
      </c>
      <c r="AC5" s="36">
        <v>-3014441.51217</v>
      </c>
      <c r="AD5" s="37">
        <v>12719</v>
      </c>
      <c r="AE5" s="38">
        <v>-1.2959799999999999E-2</v>
      </c>
      <c r="AF5" s="37">
        <v>111.50078999999999</v>
      </c>
      <c r="AG5" s="37">
        <v>3392279</v>
      </c>
      <c r="AH5" s="37">
        <v>-144181</v>
      </c>
      <c r="AI5" s="36">
        <v>-10036737.64115</v>
      </c>
      <c r="AJ5" s="37">
        <v>3248098</v>
      </c>
      <c r="AK5" s="38">
        <v>-4.2502700000000004E-2</v>
      </c>
      <c r="AL5" s="37">
        <v>100</v>
      </c>
      <c r="AM5" s="36">
        <v>38152053.894199997</v>
      </c>
      <c r="AN5" s="38">
        <v>0.17805679999999999</v>
      </c>
      <c r="AO5" s="36">
        <v>31796909.011799999</v>
      </c>
      <c r="AP5" s="38">
        <v>0.1690932</v>
      </c>
      <c r="AQ5" s="36">
        <v>7646421.6204899997</v>
      </c>
      <c r="AR5" s="38">
        <v>0.30112089999999997</v>
      </c>
      <c r="AS5" s="36">
        <v>0</v>
      </c>
      <c r="AT5" s="36">
        <v>0</v>
      </c>
      <c r="AU5" s="36">
        <v>0</v>
      </c>
      <c r="AV5" s="36">
        <v>0</v>
      </c>
      <c r="AW5" s="36">
        <v>0</v>
      </c>
      <c r="AX5" s="36">
        <v>0</v>
      </c>
      <c r="AY5" s="36">
        <v>170818</v>
      </c>
      <c r="AZ5" s="36">
        <v>-170818</v>
      </c>
      <c r="BA5" s="36">
        <v>-170818</v>
      </c>
      <c r="BB5" s="36">
        <v>31111005.753600001</v>
      </c>
      <c r="BC5" s="34">
        <v>0.14296349999999999</v>
      </c>
      <c r="BD5" s="36">
        <v>25743723.766029999</v>
      </c>
      <c r="BE5" s="34">
        <v>0.13483490000000001</v>
      </c>
      <c r="BF5" s="36">
        <v>4654320.6199000003</v>
      </c>
      <c r="BG5" s="34">
        <v>0.1737736</v>
      </c>
      <c r="BH5" s="34">
        <v>0.96352000000000004</v>
      </c>
      <c r="BI5" s="35">
        <v>1.286</v>
      </c>
      <c r="BJ5" s="36"/>
      <c r="BK5" s="34">
        <v>0.97638000000000003</v>
      </c>
      <c r="BL5" s="35">
        <v>1.286</v>
      </c>
      <c r="BM5" s="37"/>
      <c r="BN5" s="39">
        <v>1.0507500000000001</v>
      </c>
      <c r="BO5" s="39">
        <v>-5.47E-3</v>
      </c>
      <c r="BP5" s="36">
        <v>-1205297.2441100001</v>
      </c>
      <c r="BQ5" s="39">
        <v>1.0452900000000001</v>
      </c>
      <c r="BR5" s="38">
        <v>-5.2022000000000006E-3</v>
      </c>
      <c r="BS5" s="37">
        <v>100.72502</v>
      </c>
      <c r="BT5" s="36">
        <v>16603196.970000001</v>
      </c>
      <c r="BU5" s="36">
        <v>-1575899.97</v>
      </c>
      <c r="BV5" s="36"/>
      <c r="BW5" s="36">
        <v>15075982.970000001</v>
      </c>
      <c r="BX5" s="36">
        <v>-1770539.97</v>
      </c>
      <c r="BY5" s="36"/>
      <c r="BZ5" s="36">
        <v>13305443</v>
      </c>
      <c r="CA5" s="34">
        <v>-0.11744109999999999</v>
      </c>
      <c r="CB5" s="37"/>
      <c r="CC5" s="36">
        <v>1527214</v>
      </c>
      <c r="CD5" s="36">
        <v>194640</v>
      </c>
      <c r="CE5" s="36"/>
      <c r="CF5" s="36">
        <v>1721854</v>
      </c>
      <c r="CG5" s="34">
        <v>0.1274478</v>
      </c>
      <c r="CH5" s="37"/>
      <c r="CI5" s="36">
        <v>15027297</v>
      </c>
      <c r="CJ5" s="34">
        <v>-9.49155E-2</v>
      </c>
      <c r="CK5" s="37"/>
      <c r="CL5" s="36">
        <v>1047.6525099999999</v>
      </c>
      <c r="CM5" s="36">
        <v>-91.413439999999994</v>
      </c>
      <c r="CN5" s="36"/>
      <c r="CO5" s="36">
        <v>1113.4404</v>
      </c>
      <c r="CP5" s="36">
        <v>-112.65491</v>
      </c>
      <c r="CQ5" s="36"/>
      <c r="CR5" s="36">
        <v>1000.78548</v>
      </c>
      <c r="CS5" s="38">
        <v>-0.1011773</v>
      </c>
      <c r="CT5" s="37"/>
      <c r="CU5" s="36">
        <v>661.70451000000003</v>
      </c>
      <c r="CV5" s="36">
        <v>49.805410000000002</v>
      </c>
      <c r="CW5" s="36"/>
      <c r="CX5" s="36">
        <v>711.50991999999997</v>
      </c>
      <c r="CY5" s="38">
        <v>7.5268399999999999E-2</v>
      </c>
      <c r="CZ5" s="37"/>
      <c r="DA5" s="36">
        <v>956.23906999999997</v>
      </c>
      <c r="DB5" s="38">
        <v>-8.72555E-2</v>
      </c>
      <c r="DC5" s="37"/>
      <c r="DD5" s="36">
        <v>287305.29496999999</v>
      </c>
      <c r="DE5" s="36">
        <v>13544.32972</v>
      </c>
      <c r="DF5" s="36"/>
      <c r="DG5" s="36">
        <v>300849.62469999999</v>
      </c>
      <c r="DH5" s="38">
        <v>4.7142600000000007E-2</v>
      </c>
      <c r="DI5" s="37"/>
      <c r="DJ5" s="36">
        <v>158669.77282000001</v>
      </c>
      <c r="DK5" s="36">
        <v>10086.04091</v>
      </c>
      <c r="DL5" s="36"/>
      <c r="DM5" s="36">
        <v>168755.81372000001</v>
      </c>
      <c r="DN5" s="38">
        <v>6.3566200000000003E-2</v>
      </c>
      <c r="DO5" s="37"/>
      <c r="DP5" s="36">
        <v>268571.65129000001</v>
      </c>
      <c r="DQ5" s="36">
        <v>11936.451129999999</v>
      </c>
      <c r="DR5" s="36"/>
      <c r="DS5" s="36">
        <v>280508.10242000001</v>
      </c>
      <c r="DT5" s="38">
        <v>4.4444200000000003E-2</v>
      </c>
      <c r="DU5" s="37"/>
      <c r="DV5" s="36">
        <v>1169.95056</v>
      </c>
      <c r="DW5" s="36">
        <v>-123.84293</v>
      </c>
      <c r="DX5" s="36"/>
      <c r="DY5" s="36">
        <v>1046.10763</v>
      </c>
      <c r="DZ5" s="34">
        <v>-0.10585309999999999</v>
      </c>
      <c r="EA5" s="37"/>
      <c r="EB5" s="36">
        <v>301886.83020000003</v>
      </c>
      <c r="EC5" s="36">
        <v>12587.24483</v>
      </c>
      <c r="ED5" s="36"/>
      <c r="EE5" s="36">
        <v>314474.07503000001</v>
      </c>
      <c r="EF5" s="38">
        <v>4.1695200000000002E-2</v>
      </c>
      <c r="EG5" s="37"/>
      <c r="EH5" s="36">
        <v>3890113693.9499998</v>
      </c>
      <c r="EI5" s="36">
        <v>109682066.39</v>
      </c>
      <c r="EJ5" s="36"/>
      <c r="EK5" s="36">
        <v>3999795760.3400002</v>
      </c>
      <c r="EL5" s="38">
        <v>2.8195100000000001E-2</v>
      </c>
      <c r="EM5" s="37"/>
      <c r="EN5" s="36">
        <v>366209835.66000003</v>
      </c>
      <c r="EO5" s="36">
        <v>42179233.549999997</v>
      </c>
      <c r="EP5" s="36"/>
      <c r="EQ5" s="36">
        <v>408389069.20999998</v>
      </c>
      <c r="ER5" s="38">
        <v>0.1151778</v>
      </c>
      <c r="ES5" s="37"/>
      <c r="ET5" s="36">
        <v>4256323529.6100001</v>
      </c>
      <c r="EU5" s="36">
        <v>151861299.94</v>
      </c>
      <c r="EV5" s="36"/>
      <c r="EW5" s="36">
        <v>4408184829.5500002</v>
      </c>
      <c r="EX5" s="38">
        <v>3.5678999999999995E-2</v>
      </c>
      <c r="EY5" s="37"/>
      <c r="EZ5" s="36">
        <v>15911.931549999999</v>
      </c>
      <c r="FA5" s="36">
        <v>4471.3032199999998</v>
      </c>
      <c r="FB5" s="36">
        <v>57227654.562169999</v>
      </c>
      <c r="FC5" s="36">
        <v>20383.234769999999</v>
      </c>
      <c r="FD5" s="38">
        <v>0.28100320000000001</v>
      </c>
      <c r="FE5" s="37">
        <v>111.66797</v>
      </c>
      <c r="FF5" s="36">
        <v>16461.174869999999</v>
      </c>
      <c r="FG5" s="36">
        <v>4166.9704400000001</v>
      </c>
      <c r="FH5" s="36">
        <v>20628.14531</v>
      </c>
      <c r="FI5" s="38">
        <v>0.25313930000000001</v>
      </c>
      <c r="FJ5" s="37">
        <v>113.41118</v>
      </c>
      <c r="FK5" s="36">
        <v>14552.836950000001</v>
      </c>
      <c r="FL5" s="36">
        <v>4635.9143100000001</v>
      </c>
      <c r="FM5" s="36">
        <v>73147058.387700006</v>
      </c>
      <c r="FN5" s="36">
        <v>19188.751260000001</v>
      </c>
      <c r="FO5" s="38">
        <v>0.31855739999999999</v>
      </c>
      <c r="FP5" s="37">
        <v>112.01361</v>
      </c>
      <c r="FQ5" s="36">
        <v>15143.364100000001</v>
      </c>
      <c r="FR5" s="36">
        <v>4356.77603</v>
      </c>
      <c r="FS5" s="36">
        <v>58432951.806290001</v>
      </c>
      <c r="FT5" s="36">
        <v>19500.14013</v>
      </c>
      <c r="FU5" s="38">
        <v>0.28770200000000001</v>
      </c>
      <c r="FV5" s="37">
        <v>110.86418999999999</v>
      </c>
      <c r="FW5" s="36">
        <v>11088.4792</v>
      </c>
      <c r="FX5" s="36">
        <v>6389.5633699999998</v>
      </c>
      <c r="FY5" s="36">
        <v>15129154.146640001</v>
      </c>
      <c r="FZ5" s="36">
        <v>17478.042570000001</v>
      </c>
      <c r="GA5" s="38">
        <v>0.57623440000000004</v>
      </c>
      <c r="GB5" s="37">
        <v>125.93684</v>
      </c>
      <c r="GC5" s="37">
        <v>12</v>
      </c>
      <c r="GD5" s="37">
        <v>1</v>
      </c>
      <c r="GE5" s="36"/>
      <c r="GF5" s="37">
        <v>13</v>
      </c>
      <c r="GG5" s="38">
        <v>8.3333299999999999E-2</v>
      </c>
      <c r="GH5" s="37"/>
      <c r="GI5" s="37">
        <v>12</v>
      </c>
      <c r="GJ5" s="37">
        <v>1</v>
      </c>
      <c r="GK5" s="36"/>
      <c r="GL5" s="37">
        <v>13</v>
      </c>
      <c r="GM5" s="38">
        <v>8.3333299999999999E-2</v>
      </c>
      <c r="GN5" s="37"/>
      <c r="GO5" s="37">
        <v>12</v>
      </c>
      <c r="GP5" s="37">
        <v>1</v>
      </c>
      <c r="GQ5" s="36"/>
      <c r="GR5" s="37">
        <v>13</v>
      </c>
      <c r="GS5" s="38">
        <v>8.3333299999999999E-2</v>
      </c>
      <c r="GT5" s="37"/>
      <c r="GU5" s="34">
        <v>5.2873400000000001E-2</v>
      </c>
      <c r="GV5" s="35">
        <v>1.4924900000000001</v>
      </c>
      <c r="GW5" s="36"/>
      <c r="GX5" s="34">
        <v>6.7798299999999992E-2</v>
      </c>
      <c r="GY5" s="35">
        <v>1.4924900000000001</v>
      </c>
      <c r="GZ5" s="37"/>
      <c r="HA5" s="34">
        <v>5.52553E-2</v>
      </c>
      <c r="HB5" s="35">
        <v>1.3543499999999999</v>
      </c>
      <c r="HC5" s="36"/>
      <c r="HD5" s="34">
        <v>6.8798799999999993E-2</v>
      </c>
      <c r="HE5" s="35">
        <v>1.3543499999999999</v>
      </c>
      <c r="HF5" s="37"/>
      <c r="HG5" s="34">
        <v>3.9300099999999998E-2</v>
      </c>
      <c r="HH5" s="35">
        <v>2.2949600000000001</v>
      </c>
      <c r="HI5" s="36"/>
      <c r="HJ5" s="34">
        <v>6.2249699999999998E-2</v>
      </c>
      <c r="HK5" s="35">
        <v>2.2949600000000001</v>
      </c>
      <c r="HL5" s="37"/>
      <c r="HM5" s="34">
        <v>3.15835E-2</v>
      </c>
      <c r="HN5" s="35">
        <v>0.35854000000000003</v>
      </c>
      <c r="HO5" s="36"/>
      <c r="HP5" s="34">
        <v>3.51688E-2</v>
      </c>
      <c r="HQ5" s="35">
        <v>0.35854000000000003</v>
      </c>
      <c r="HR5" s="37"/>
      <c r="HS5" s="34">
        <v>3.3050599999999999E-2</v>
      </c>
      <c r="HT5" s="35">
        <v>0.29486000000000001</v>
      </c>
      <c r="HU5" s="36"/>
      <c r="HV5" s="34">
        <v>3.5999200000000002E-2</v>
      </c>
      <c r="HW5" s="35">
        <v>0.29486000000000001</v>
      </c>
      <c r="HX5" s="37"/>
      <c r="HY5" s="34">
        <v>2.4593400000000001E-2</v>
      </c>
      <c r="HZ5" s="35">
        <v>0.64285000000000003</v>
      </c>
      <c r="IA5" s="36"/>
      <c r="IB5" s="34">
        <v>3.1021899999999998E-2</v>
      </c>
      <c r="IC5" s="35">
        <v>0.64285000000000003</v>
      </c>
      <c r="ID5" s="37"/>
      <c r="IE5" s="34">
        <v>8.4809999999999996E-4</v>
      </c>
      <c r="IF5" s="35">
        <v>8.4399999999999996E-3</v>
      </c>
      <c r="IG5" s="36">
        <v>25086395.710820001</v>
      </c>
      <c r="IH5" s="34">
        <v>9.3249999999999995E-4</v>
      </c>
      <c r="II5" s="35">
        <v>8.4399999999999996E-3</v>
      </c>
      <c r="IJ5" s="37">
        <v>114.47832</v>
      </c>
      <c r="IK5" s="34">
        <v>1.1501E-3</v>
      </c>
      <c r="IL5" s="35">
        <v>7.6499999999999997E-3</v>
      </c>
      <c r="IM5" s="36">
        <v>0</v>
      </c>
      <c r="IN5" s="34">
        <v>1.2267000000000001E-3</v>
      </c>
      <c r="IO5" s="35">
        <v>7.6499999999999997E-3</v>
      </c>
      <c r="IP5" s="37">
        <v>112.31432</v>
      </c>
      <c r="IQ5" s="34">
        <v>3.3390000000000004E-4</v>
      </c>
      <c r="IR5" s="35">
        <v>6.8500000000000002E-3</v>
      </c>
      <c r="IS5" s="36">
        <v>6207322.1060499996</v>
      </c>
      <c r="IT5" s="34">
        <v>4.0239999999999997E-4</v>
      </c>
      <c r="IU5" s="35">
        <v>6.8500000000000002E-3</v>
      </c>
      <c r="IV5" s="37">
        <v>125.76196</v>
      </c>
      <c r="IW5" s="34">
        <v>4.5432100000000003E-2</v>
      </c>
      <c r="IX5" s="35">
        <v>0.52251000000000003</v>
      </c>
      <c r="IY5" s="36"/>
      <c r="IZ5" s="34">
        <v>5.0657199999999999E-2</v>
      </c>
      <c r="JA5" s="35">
        <v>0.52251000000000003</v>
      </c>
      <c r="JB5" s="37"/>
      <c r="JC5" s="34">
        <v>8.7192999999999993E-3</v>
      </c>
      <c r="JD5" s="35">
        <v>2.137E-2</v>
      </c>
      <c r="JE5" s="36"/>
      <c r="JF5" s="34">
        <v>8.9331000000000011E-3</v>
      </c>
      <c r="JG5" s="35">
        <v>2.137E-2</v>
      </c>
      <c r="JH5" s="37">
        <v>107.92861000000001</v>
      </c>
      <c r="JI5" s="34">
        <v>3.7985999999999996E-3</v>
      </c>
      <c r="JJ5" s="35">
        <v>1.172E-2</v>
      </c>
      <c r="JK5" s="36">
        <v>7022296.1289799996</v>
      </c>
      <c r="JL5" s="34">
        <v>3.9157999999999997E-3</v>
      </c>
      <c r="JM5" s="35">
        <v>1.172E-2</v>
      </c>
      <c r="JN5" s="37">
        <v>111.50067</v>
      </c>
      <c r="JO5" s="36">
        <v>12685.405640000001</v>
      </c>
      <c r="JP5" s="36">
        <v>4207.2740999999996</v>
      </c>
      <c r="JQ5" s="36">
        <v>75763039.374779999</v>
      </c>
      <c r="JR5" s="36">
        <v>16892.67974</v>
      </c>
      <c r="JS5" s="38">
        <v>0.33166260000000003</v>
      </c>
      <c r="JT5" s="37">
        <v>115.15522</v>
      </c>
      <c r="JU5" s="36">
        <v>13039.18283</v>
      </c>
      <c r="JV5" s="36">
        <v>3990.1368699999998</v>
      </c>
      <c r="JW5" s="36">
        <v>61695563.70623</v>
      </c>
      <c r="JX5" s="36">
        <v>17029.31969</v>
      </c>
      <c r="JY5" s="38">
        <v>0.30601129999999999</v>
      </c>
      <c r="JZ5" s="37">
        <v>114.3124</v>
      </c>
      <c r="KA5" s="36">
        <v>10420.280940000001</v>
      </c>
      <c r="KB5" s="36">
        <v>5680.5424400000002</v>
      </c>
      <c r="KC5" s="36">
        <v>14466776.0527</v>
      </c>
      <c r="KD5" s="36">
        <v>16100.82338</v>
      </c>
      <c r="KE5" s="38">
        <v>0.54514289999999999</v>
      </c>
      <c r="KF5" s="37">
        <v>125.57223</v>
      </c>
      <c r="KG5" s="37">
        <v>4</v>
      </c>
      <c r="KH5" s="37">
        <v>0</v>
      </c>
      <c r="KI5" s="36"/>
      <c r="KJ5" s="37">
        <v>4</v>
      </c>
      <c r="KK5" s="38">
        <v>0</v>
      </c>
      <c r="KL5" s="37">
        <v>100</v>
      </c>
      <c r="KM5" s="37">
        <v>4</v>
      </c>
      <c r="KN5" s="37">
        <v>0</v>
      </c>
      <c r="KO5" s="36"/>
      <c r="KP5" s="37">
        <v>4</v>
      </c>
      <c r="KQ5" s="38">
        <v>0</v>
      </c>
      <c r="KR5" s="37">
        <v>100</v>
      </c>
      <c r="KS5" s="37">
        <v>4</v>
      </c>
      <c r="KT5" s="37">
        <v>0</v>
      </c>
      <c r="KU5" s="36"/>
      <c r="KV5" s="37">
        <v>4</v>
      </c>
      <c r="KW5" s="38">
        <v>0</v>
      </c>
      <c r="KX5" s="37">
        <v>100</v>
      </c>
      <c r="KY5" s="37">
        <v>18181</v>
      </c>
      <c r="KZ5" s="37">
        <v>-330</v>
      </c>
      <c r="LA5" s="37">
        <v>17851</v>
      </c>
      <c r="LB5" s="38">
        <v>-1.8150800000000002E-2</v>
      </c>
      <c r="LC5" s="37">
        <v>111.352</v>
      </c>
      <c r="LD5" s="37">
        <v>15725</v>
      </c>
      <c r="LE5" s="37">
        <v>-501</v>
      </c>
      <c r="LF5" s="37">
        <v>15224</v>
      </c>
      <c r="LG5" s="38">
        <v>-3.1860100000000002E-2</v>
      </c>
      <c r="LH5" s="37">
        <v>108.92140999999999</v>
      </c>
      <c r="LI5" s="37">
        <v>2456</v>
      </c>
      <c r="LJ5" s="37">
        <v>171</v>
      </c>
      <c r="LK5" s="37">
        <v>2627</v>
      </c>
      <c r="LL5" s="38">
        <v>6.9625400000000004E-2</v>
      </c>
      <c r="LM5" s="37">
        <v>126.13905</v>
      </c>
      <c r="LN5" s="39">
        <v>1.2203200000000001</v>
      </c>
      <c r="LO5" s="39">
        <v>-2.3369999999999998E-2</v>
      </c>
      <c r="LP5" s="39">
        <v>1.19695</v>
      </c>
      <c r="LQ5" s="38">
        <v>-1.9148499999999999E-2</v>
      </c>
      <c r="LR5" s="37">
        <v>97.686660000000003</v>
      </c>
      <c r="LS5" s="39">
        <v>1.16137</v>
      </c>
      <c r="LT5" s="39">
        <v>-1.6279999999999999E-2</v>
      </c>
      <c r="LU5" s="36">
        <v>-3262611.89995</v>
      </c>
      <c r="LV5" s="39">
        <v>1.1450899999999999</v>
      </c>
      <c r="LW5" s="38">
        <v>-1.4019200000000001E-2</v>
      </c>
      <c r="LX5" s="37">
        <v>96.983519999999999</v>
      </c>
      <c r="LY5" s="39">
        <v>1.1472100000000001</v>
      </c>
      <c r="LZ5" s="39">
        <v>-1.129E-2</v>
      </c>
      <c r="MA5" s="36">
        <v>-2615980.9870799999</v>
      </c>
      <c r="MB5" s="39">
        <v>1.13592</v>
      </c>
      <c r="MC5" s="38">
        <v>-9.8411999999999996E-3</v>
      </c>
      <c r="MD5" s="37">
        <v>97.271850000000001</v>
      </c>
      <c r="ME5" s="39">
        <v>1.06412</v>
      </c>
      <c r="MF5" s="39">
        <v>2.1409999999999998E-2</v>
      </c>
      <c r="MG5" s="36">
        <v>662378.09394000005</v>
      </c>
      <c r="MH5" s="39">
        <v>1.0855399999999999</v>
      </c>
      <c r="MI5" s="38">
        <v>2.01221E-2</v>
      </c>
      <c r="MJ5" s="37">
        <v>100.29036000000001</v>
      </c>
      <c r="MK5" s="36">
        <v>66522263</v>
      </c>
      <c r="ML5" s="36">
        <v>66522263</v>
      </c>
      <c r="MM5" s="36">
        <v>66522263</v>
      </c>
      <c r="MN5" s="36">
        <v>57231427</v>
      </c>
      <c r="MO5" s="36">
        <v>57231427</v>
      </c>
      <c r="MP5" s="36">
        <v>57231427</v>
      </c>
      <c r="MQ5" s="36">
        <v>9290836</v>
      </c>
      <c r="MR5" s="36">
        <v>9290836</v>
      </c>
      <c r="MS5" s="36">
        <v>9290836</v>
      </c>
      <c r="MT5" s="37">
        <v>18181</v>
      </c>
      <c r="MU5" s="37">
        <v>-4421</v>
      </c>
      <c r="MV5" s="36">
        <v>-64867456.57779</v>
      </c>
      <c r="MW5" s="37">
        <v>13760</v>
      </c>
      <c r="MX5" s="38">
        <v>-0.24316590000000002</v>
      </c>
      <c r="MY5" s="37">
        <v>15725</v>
      </c>
      <c r="MZ5" s="37">
        <v>-4047</v>
      </c>
      <c r="NA5" s="36">
        <v>-60558846.72783</v>
      </c>
      <c r="NB5" s="37">
        <v>11678</v>
      </c>
      <c r="NC5" s="38">
        <v>-0.2573609</v>
      </c>
      <c r="ND5" s="37">
        <v>2449</v>
      </c>
      <c r="NE5" s="37">
        <v>-367</v>
      </c>
      <c r="NF5" s="36">
        <v>-4716107.2203900004</v>
      </c>
      <c r="NG5" s="37">
        <v>2082</v>
      </c>
      <c r="NH5" s="38">
        <v>-0.14985709999999999</v>
      </c>
      <c r="NI5" s="36">
        <v>230633359.94</v>
      </c>
      <c r="NJ5" s="36">
        <v>70917866.069999993</v>
      </c>
      <c r="NK5" s="36">
        <v>70917866.069999993</v>
      </c>
      <c r="NL5" s="36">
        <v>301551226.00999999</v>
      </c>
      <c r="NM5" s="38">
        <v>0.30749179999999998</v>
      </c>
      <c r="NN5" s="37">
        <v>128.22764000000001</v>
      </c>
      <c r="NO5" s="36">
        <v>205041149.94999999</v>
      </c>
      <c r="NP5" s="36">
        <v>54213213.049999997</v>
      </c>
      <c r="NQ5" s="36">
        <v>54213213.049999997</v>
      </c>
      <c r="NR5" s="36">
        <v>259254363</v>
      </c>
      <c r="NS5" s="38">
        <v>0.26440160000000001</v>
      </c>
      <c r="NT5" s="37">
        <v>124.51067</v>
      </c>
      <c r="NU5" s="36">
        <v>25592209.989999998</v>
      </c>
      <c r="NV5" s="36">
        <v>16704653.02</v>
      </c>
      <c r="NW5" s="36">
        <v>16704653.02</v>
      </c>
      <c r="NX5" s="36">
        <v>42296863.009999998</v>
      </c>
      <c r="NY5" s="38">
        <v>0.65272409999999992</v>
      </c>
      <c r="NZ5" s="37">
        <v>158.39562000000001</v>
      </c>
      <c r="OA5" s="36">
        <v>625022.65566000005</v>
      </c>
      <c r="OB5" s="36">
        <v>134552.22094</v>
      </c>
      <c r="OC5" s="36"/>
      <c r="OD5" s="36">
        <v>759574.87659999996</v>
      </c>
      <c r="OE5" s="38">
        <v>0.21527570000000001</v>
      </c>
      <c r="OF5" s="37">
        <v>115.03595</v>
      </c>
      <c r="OG5" s="36">
        <v>558695.23147</v>
      </c>
      <c r="OH5" s="36">
        <v>104359.40536</v>
      </c>
      <c r="OI5" s="36"/>
      <c r="OJ5" s="36">
        <v>663054.63682999997</v>
      </c>
      <c r="OK5" s="38">
        <v>0.18679129999999999</v>
      </c>
      <c r="OL5" s="37">
        <v>112.80074</v>
      </c>
      <c r="OM5" s="36">
        <v>72912.279169999994</v>
      </c>
      <c r="ON5" s="36">
        <v>46233.81381</v>
      </c>
      <c r="OO5" s="36"/>
      <c r="OP5" s="36">
        <v>119146.09299</v>
      </c>
      <c r="OQ5" s="38">
        <v>0.6341019</v>
      </c>
      <c r="OR5" s="37">
        <v>151.16039000000001</v>
      </c>
      <c r="OS5" s="39">
        <v>49.271000000000001</v>
      </c>
      <c r="OT5" s="39">
        <v>-4.3062699999999996</v>
      </c>
      <c r="OU5" s="36"/>
      <c r="OV5" s="39">
        <v>44.964739999999999</v>
      </c>
      <c r="OW5" s="38">
        <v>-8.7399599999999994E-2</v>
      </c>
      <c r="OX5" s="37">
        <v>99.896429999999995</v>
      </c>
      <c r="OY5" s="39">
        <v>42.847410000000004</v>
      </c>
      <c r="OZ5" s="39">
        <v>-3.9113500000000001</v>
      </c>
      <c r="PA5" s="36"/>
      <c r="PB5" s="39">
        <v>38.936059999999998</v>
      </c>
      <c r="PC5" s="38">
        <v>-9.1285600000000008E-2</v>
      </c>
      <c r="PD5" s="37">
        <v>98.677610000000001</v>
      </c>
      <c r="PE5" s="39">
        <v>6.9971500000000004</v>
      </c>
      <c r="PF5" s="39">
        <v>0.40284999999999999</v>
      </c>
      <c r="PG5" s="36"/>
      <c r="PH5" s="39">
        <v>7.4</v>
      </c>
      <c r="PI5" s="38">
        <v>5.7573299999999994E-2</v>
      </c>
      <c r="PJ5" s="37">
        <v>120.37724</v>
      </c>
      <c r="PK5" s="36">
        <v>134777.821</v>
      </c>
      <c r="PL5" s="36">
        <v>44471.263509999997</v>
      </c>
      <c r="PM5" s="36"/>
      <c r="PN5" s="36">
        <v>179249.08450999999</v>
      </c>
      <c r="PO5" s="38">
        <v>0.32995980000000003</v>
      </c>
      <c r="PP5" s="37"/>
      <c r="PQ5" s="39">
        <v>10.624639999999999</v>
      </c>
      <c r="PR5" s="39">
        <v>-1.359E-2</v>
      </c>
      <c r="PS5" s="36"/>
      <c r="PT5" s="39">
        <v>10.611050000000001</v>
      </c>
      <c r="PU5" s="38">
        <v>-1.2787E-3</v>
      </c>
      <c r="PV5" s="37"/>
      <c r="PW5" s="37">
        <v>15848</v>
      </c>
      <c r="PX5" s="37">
        <v>-133</v>
      </c>
      <c r="PY5" s="36">
        <v>-2229192.3177</v>
      </c>
      <c r="PZ5" s="37">
        <v>15715</v>
      </c>
      <c r="QA5" s="38">
        <v>-8.392199999999999E-3</v>
      </c>
      <c r="QB5" s="37">
        <v>114.47506</v>
      </c>
      <c r="QC5" s="37">
        <v>13540</v>
      </c>
      <c r="QD5" s="37">
        <v>-245</v>
      </c>
      <c r="QE5" s="36">
        <v>0</v>
      </c>
      <c r="QF5" s="37">
        <v>13295</v>
      </c>
      <c r="QG5" s="38">
        <v>-1.8094499999999999E-2</v>
      </c>
      <c r="QH5" s="37">
        <v>112.30919</v>
      </c>
      <c r="QI5" s="37">
        <v>2308</v>
      </c>
      <c r="QJ5" s="37">
        <v>112</v>
      </c>
      <c r="QK5" s="36">
        <v>1575498.8733600001</v>
      </c>
      <c r="QL5" s="37">
        <v>2420</v>
      </c>
      <c r="QM5" s="38">
        <v>4.8526899999999998E-2</v>
      </c>
      <c r="QN5" s="37">
        <v>125.77386</v>
      </c>
      <c r="QO5" s="37">
        <v>18685753</v>
      </c>
      <c r="QP5" s="37">
        <v>-1833361</v>
      </c>
      <c r="QQ5" s="36">
        <v>-27315588.028519999</v>
      </c>
      <c r="QR5" s="37">
        <v>16852392</v>
      </c>
      <c r="QS5" s="38">
        <v>-9.8115400000000005E-2</v>
      </c>
      <c r="QT5" s="37">
        <v>100</v>
      </c>
      <c r="QU5" s="37">
        <v>11772767</v>
      </c>
      <c r="QV5" s="37">
        <v>-934378</v>
      </c>
      <c r="QW5" s="36">
        <v>0</v>
      </c>
      <c r="QX5" s="37">
        <v>10838389</v>
      </c>
      <c r="QY5" s="38">
        <v>-7.9367699999999999E-2</v>
      </c>
      <c r="QZ5" s="37">
        <v>100</v>
      </c>
      <c r="RA5" s="37">
        <v>6912986</v>
      </c>
      <c r="RB5" s="37">
        <v>-898983</v>
      </c>
      <c r="RC5" s="36">
        <v>-4631823.2326800004</v>
      </c>
      <c r="RD5" s="37">
        <v>6014003</v>
      </c>
      <c r="RE5" s="38">
        <v>-0.13004260000000001</v>
      </c>
      <c r="RF5" s="37">
        <v>100</v>
      </c>
    </row>
    <row r="6" spans="1:474" x14ac:dyDescent="0.25">
      <c r="A6" s="1" t="s">
        <v>505</v>
      </c>
      <c r="B6" s="1" t="s">
        <v>517</v>
      </c>
      <c r="C6" s="34">
        <v>0.11106400000000001</v>
      </c>
      <c r="D6" s="35">
        <v>0.62619000000000002</v>
      </c>
      <c r="E6" s="36"/>
      <c r="F6" s="34">
        <v>0.1173259</v>
      </c>
      <c r="G6" s="35">
        <v>0.62619000000000002</v>
      </c>
      <c r="H6" s="37">
        <v>115.32281999999999</v>
      </c>
      <c r="I6" s="37">
        <v>400</v>
      </c>
      <c r="J6" s="37">
        <v>-15</v>
      </c>
      <c r="K6" s="36">
        <v>0</v>
      </c>
      <c r="L6" s="37">
        <v>385</v>
      </c>
      <c r="M6" s="38">
        <v>-3.7499999999999999E-2</v>
      </c>
      <c r="N6" s="37">
        <v>99.720550000000003</v>
      </c>
      <c r="O6" s="37">
        <v>368</v>
      </c>
      <c r="P6" s="37">
        <v>-18</v>
      </c>
      <c r="Q6" s="36"/>
      <c r="R6" s="37">
        <v>350</v>
      </c>
      <c r="S6" s="38">
        <v>-4.8913000000000005E-2</v>
      </c>
      <c r="T6" s="37">
        <v>98.5381</v>
      </c>
      <c r="U6" s="37">
        <v>407</v>
      </c>
      <c r="V6" s="37">
        <v>-17</v>
      </c>
      <c r="W6" s="36"/>
      <c r="X6" s="37">
        <v>390</v>
      </c>
      <c r="Y6" s="38">
        <v>-4.1769000000000001E-2</v>
      </c>
      <c r="Z6" s="37">
        <v>99.278260000000003</v>
      </c>
      <c r="AA6" s="37">
        <v>14163</v>
      </c>
      <c r="AB6" s="37">
        <v>-3722</v>
      </c>
      <c r="AC6" s="36">
        <v>-51624946.348800004</v>
      </c>
      <c r="AD6" s="37">
        <v>10441</v>
      </c>
      <c r="AE6" s="38">
        <v>-0.26279740000000001</v>
      </c>
      <c r="AF6" s="37">
        <v>83.277940000000001</v>
      </c>
      <c r="AG6" s="37">
        <v>3392279</v>
      </c>
      <c r="AH6" s="37">
        <v>-144181</v>
      </c>
      <c r="AI6" s="36">
        <v>-7354045.8212900003</v>
      </c>
      <c r="AJ6" s="37">
        <v>3248098</v>
      </c>
      <c r="AK6" s="38">
        <v>-4.2502700000000004E-2</v>
      </c>
      <c r="AL6" s="37">
        <v>100</v>
      </c>
      <c r="AM6" s="36">
        <v>31478282.877130002</v>
      </c>
      <c r="AN6" s="38">
        <v>0.15673860000000001</v>
      </c>
      <c r="AO6" s="36">
        <v>21181449.82889</v>
      </c>
      <c r="AP6" s="38">
        <v>0.13325710000000002</v>
      </c>
      <c r="AQ6" s="36">
        <v>10152586.394859999</v>
      </c>
      <c r="AR6" s="38">
        <v>0.2418738</v>
      </c>
      <c r="AS6" s="36">
        <v>0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36">
        <v>45347152.618969999</v>
      </c>
      <c r="BC6" s="34">
        <v>0.2333768</v>
      </c>
      <c r="BD6" s="36">
        <v>35684355.959150001</v>
      </c>
      <c r="BE6" s="34">
        <v>0.23460219999999998</v>
      </c>
      <c r="BF6" s="36">
        <v>9655477.5841300003</v>
      </c>
      <c r="BG6" s="34">
        <v>0.22877140000000001</v>
      </c>
      <c r="BH6" s="34">
        <v>0.96813999999999989</v>
      </c>
      <c r="BI6" s="35">
        <v>0.192</v>
      </c>
      <c r="BJ6" s="36"/>
      <c r="BK6" s="34">
        <v>0.97006000000000003</v>
      </c>
      <c r="BL6" s="35">
        <v>0.192</v>
      </c>
      <c r="BM6" s="37"/>
      <c r="BN6" s="39">
        <v>1.1331599999999999</v>
      </c>
      <c r="BO6" s="39">
        <v>2.5500000000000002E-3</v>
      </c>
      <c r="BP6" s="36">
        <v>380765.67456000001</v>
      </c>
      <c r="BQ6" s="39">
        <v>1.13571</v>
      </c>
      <c r="BR6" s="38">
        <v>2.2512999999999999E-3</v>
      </c>
      <c r="BS6" s="37">
        <v>101.47969000000001</v>
      </c>
      <c r="BT6" s="36">
        <v>9005505</v>
      </c>
      <c r="BU6" s="36">
        <v>-1844786</v>
      </c>
      <c r="BV6" s="36"/>
      <c r="BW6" s="36">
        <v>7737276</v>
      </c>
      <c r="BX6" s="36">
        <v>-1414050</v>
      </c>
      <c r="BY6" s="36"/>
      <c r="BZ6" s="36">
        <v>6323226</v>
      </c>
      <c r="CA6" s="34">
        <v>-0.18275810000000001</v>
      </c>
      <c r="CB6" s="37"/>
      <c r="CC6" s="36">
        <v>1268229</v>
      </c>
      <c r="CD6" s="36">
        <v>-430736</v>
      </c>
      <c r="CE6" s="36"/>
      <c r="CF6" s="36">
        <v>837493</v>
      </c>
      <c r="CG6" s="34">
        <v>-0.33963579999999999</v>
      </c>
      <c r="CH6" s="37"/>
      <c r="CI6" s="36">
        <v>7160719</v>
      </c>
      <c r="CJ6" s="34">
        <v>-0.2048509</v>
      </c>
      <c r="CK6" s="37"/>
      <c r="CL6" s="36">
        <v>428.03863999999999</v>
      </c>
      <c r="CM6" s="36">
        <v>41.763159999999999</v>
      </c>
      <c r="CN6" s="36"/>
      <c r="CO6" s="36">
        <v>482.10331000000002</v>
      </c>
      <c r="CP6" s="36">
        <v>51.14226</v>
      </c>
      <c r="CQ6" s="36"/>
      <c r="CR6" s="36">
        <v>533.24557000000004</v>
      </c>
      <c r="CS6" s="38">
        <v>0.1060815</v>
      </c>
      <c r="CT6" s="37"/>
      <c r="CU6" s="36">
        <v>254.15411</v>
      </c>
      <c r="CV6" s="36">
        <v>-6.6680000000000001</v>
      </c>
      <c r="CW6" s="36"/>
      <c r="CX6" s="36">
        <v>247.48611</v>
      </c>
      <c r="CY6" s="38">
        <v>-2.6236000000000002E-2</v>
      </c>
      <c r="CZ6" s="37"/>
      <c r="DA6" s="36">
        <v>469.80180000000001</v>
      </c>
      <c r="DB6" s="38">
        <v>9.7568699999999994E-2</v>
      </c>
      <c r="DC6" s="37"/>
      <c r="DD6" s="36">
        <v>178143.95809</v>
      </c>
      <c r="DE6" s="36">
        <v>14339.8876</v>
      </c>
      <c r="DF6" s="36"/>
      <c r="DG6" s="36">
        <v>192483.84568999999</v>
      </c>
      <c r="DH6" s="38">
        <v>8.0496100000000001E-2</v>
      </c>
      <c r="DI6" s="37"/>
      <c r="DJ6" s="36">
        <v>84857.431660000002</v>
      </c>
      <c r="DK6" s="36">
        <v>-5079.2498599999999</v>
      </c>
      <c r="DL6" s="36"/>
      <c r="DM6" s="36">
        <v>79778.181800000006</v>
      </c>
      <c r="DN6" s="38">
        <v>-5.9856299999999994E-2</v>
      </c>
      <c r="DO6" s="37"/>
      <c r="DP6" s="36">
        <v>156018.39285999999</v>
      </c>
      <c r="DQ6" s="36">
        <v>11442.75459</v>
      </c>
      <c r="DR6" s="36"/>
      <c r="DS6" s="36">
        <v>167461.14744999999</v>
      </c>
      <c r="DT6" s="38">
        <v>7.3342299999999999E-2</v>
      </c>
      <c r="DU6" s="37"/>
      <c r="DV6" s="36">
        <v>546.30205000000001</v>
      </c>
      <c r="DW6" s="36">
        <v>59.312919999999998</v>
      </c>
      <c r="DX6" s="36"/>
      <c r="DY6" s="36">
        <v>605.61497999999995</v>
      </c>
      <c r="DZ6" s="34">
        <v>0.10857169999999999</v>
      </c>
      <c r="EA6" s="37"/>
      <c r="EB6" s="36">
        <v>201866.29834000001</v>
      </c>
      <c r="EC6" s="36">
        <v>16740.486659999999</v>
      </c>
      <c r="ED6" s="36"/>
      <c r="EE6" s="36">
        <v>218606.785</v>
      </c>
      <c r="EF6" s="38">
        <v>8.2928599999999991E-2</v>
      </c>
      <c r="EG6" s="37"/>
      <c r="EH6" s="36">
        <v>2859032383.4099998</v>
      </c>
      <c r="EI6" s="36">
        <v>-576558941.19000006</v>
      </c>
      <c r="EJ6" s="36"/>
      <c r="EK6" s="36">
        <v>2282473442.2199998</v>
      </c>
      <c r="EL6" s="38">
        <v>-0.20166229999999999</v>
      </c>
      <c r="EM6" s="37"/>
      <c r="EN6" s="36">
        <v>423438583.99000001</v>
      </c>
      <c r="EO6" s="36">
        <v>-153469216.78999999</v>
      </c>
      <c r="EP6" s="36"/>
      <c r="EQ6" s="36">
        <v>269969367.19999999</v>
      </c>
      <c r="ER6" s="38">
        <v>-0.36243560000000002</v>
      </c>
      <c r="ES6" s="37"/>
      <c r="ET6" s="36">
        <v>3282470967.4000001</v>
      </c>
      <c r="EU6" s="36">
        <v>-730028157.98000002</v>
      </c>
      <c r="EV6" s="36"/>
      <c r="EW6" s="36">
        <v>2552442809.4200001</v>
      </c>
      <c r="EX6" s="38">
        <v>-0.22240200000000002</v>
      </c>
      <c r="EY6" s="37"/>
      <c r="EZ6" s="36">
        <v>11720.69067</v>
      </c>
      <c r="FA6" s="36">
        <v>4818.6635100000003</v>
      </c>
      <c r="FB6" s="36">
        <v>58312201.338799998</v>
      </c>
      <c r="FC6" s="36">
        <v>16539.354179999998</v>
      </c>
      <c r="FD6" s="38">
        <v>0.4111245</v>
      </c>
      <c r="FE6" s="37">
        <v>123.01094999999999</v>
      </c>
      <c r="FF6" s="36">
        <v>12418.9609</v>
      </c>
      <c r="FG6" s="36">
        <v>4566.4168399999999</v>
      </c>
      <c r="FH6" s="36">
        <v>16985.37774</v>
      </c>
      <c r="FI6" s="38">
        <v>0.3676972</v>
      </c>
      <c r="FJ6" s="37">
        <v>123.77885999999999</v>
      </c>
      <c r="FK6" s="36">
        <v>10058.40149</v>
      </c>
      <c r="FL6" s="36">
        <v>4429.6710000000003</v>
      </c>
      <c r="FM6" s="36">
        <v>78891606.364559993</v>
      </c>
      <c r="FN6" s="36">
        <v>14488.0725</v>
      </c>
      <c r="FO6" s="38">
        <v>0.44039509999999998</v>
      </c>
      <c r="FP6" s="37">
        <v>122.36391999999999</v>
      </c>
      <c r="FQ6" s="36">
        <v>10343.332420000001</v>
      </c>
      <c r="FR6" s="36">
        <v>4219.6121700000003</v>
      </c>
      <c r="FS6" s="36">
        <v>57931435.664240003</v>
      </c>
      <c r="FT6" s="36">
        <v>14562.944589999999</v>
      </c>
      <c r="FU6" s="38">
        <v>0.40795479999999995</v>
      </c>
      <c r="FV6" s="37">
        <v>121.21731</v>
      </c>
      <c r="FW6" s="36">
        <v>9141.9973900000005</v>
      </c>
      <c r="FX6" s="36">
        <v>5083.7129999999997</v>
      </c>
      <c r="FY6" s="36">
        <v>20723666.96878</v>
      </c>
      <c r="FZ6" s="36">
        <v>14225.7104</v>
      </c>
      <c r="GA6" s="38">
        <v>0.55608340000000001</v>
      </c>
      <c r="GB6" s="37">
        <v>124.32683</v>
      </c>
      <c r="GC6" s="37">
        <v>8</v>
      </c>
      <c r="GD6" s="37">
        <v>0</v>
      </c>
      <c r="GE6" s="36"/>
      <c r="GF6" s="37">
        <v>8</v>
      </c>
      <c r="GG6" s="38">
        <v>0</v>
      </c>
      <c r="GH6" s="37"/>
      <c r="GI6" s="37">
        <v>8</v>
      </c>
      <c r="GJ6" s="37">
        <v>0</v>
      </c>
      <c r="GK6" s="36"/>
      <c r="GL6" s="37">
        <v>8</v>
      </c>
      <c r="GM6" s="38">
        <v>0</v>
      </c>
      <c r="GN6" s="37"/>
      <c r="GO6" s="37">
        <v>8</v>
      </c>
      <c r="GP6" s="37">
        <v>0</v>
      </c>
      <c r="GQ6" s="36"/>
      <c r="GR6" s="37">
        <v>8</v>
      </c>
      <c r="GS6" s="38">
        <v>0</v>
      </c>
      <c r="GT6" s="37"/>
      <c r="GU6" s="34">
        <v>4.85142E-2</v>
      </c>
      <c r="GV6" s="35">
        <v>0.11347</v>
      </c>
      <c r="GW6" s="36"/>
      <c r="GX6" s="34">
        <v>4.9648999999999999E-2</v>
      </c>
      <c r="GY6" s="35">
        <v>0.11347</v>
      </c>
      <c r="GZ6" s="37"/>
      <c r="HA6" s="34">
        <v>4.4734400000000001E-2</v>
      </c>
      <c r="HB6" s="35">
        <v>0.10920000000000001</v>
      </c>
      <c r="HC6" s="36"/>
      <c r="HD6" s="34">
        <v>4.5826399999999996E-2</v>
      </c>
      <c r="HE6" s="35">
        <v>0.10920000000000001</v>
      </c>
      <c r="HF6" s="37"/>
      <c r="HG6" s="34">
        <v>7.0053199999999996E-2</v>
      </c>
      <c r="HH6" s="35">
        <v>7.9579999999999998E-2</v>
      </c>
      <c r="HI6" s="36"/>
      <c r="HJ6" s="34">
        <v>7.0848899999999992E-2</v>
      </c>
      <c r="HK6" s="35">
        <v>7.9579999999999998E-2</v>
      </c>
      <c r="HL6" s="37"/>
      <c r="HM6" s="34">
        <v>4.5301899999999999E-2</v>
      </c>
      <c r="HN6" s="35">
        <v>-0.77236000000000005</v>
      </c>
      <c r="HO6" s="36"/>
      <c r="HP6" s="34">
        <v>3.7578299999999995E-2</v>
      </c>
      <c r="HQ6" s="35">
        <v>-0.77236000000000005</v>
      </c>
      <c r="HR6" s="37"/>
      <c r="HS6" s="34">
        <v>4.20484E-2</v>
      </c>
      <c r="HT6" s="35">
        <v>-0.68744000000000005</v>
      </c>
      <c r="HU6" s="36"/>
      <c r="HV6" s="34">
        <v>3.5173999999999997E-2</v>
      </c>
      <c r="HW6" s="35">
        <v>-0.68744000000000005</v>
      </c>
      <c r="HX6" s="37"/>
      <c r="HY6" s="34">
        <v>6.0802699999999994E-2</v>
      </c>
      <c r="HZ6" s="35">
        <v>-1.1217200000000001</v>
      </c>
      <c r="IA6" s="36"/>
      <c r="IB6" s="34">
        <v>4.9585499999999998E-2</v>
      </c>
      <c r="IC6" s="35">
        <v>-1.1217200000000001</v>
      </c>
      <c r="ID6" s="37"/>
      <c r="IE6" s="34">
        <v>1.1259E-3</v>
      </c>
      <c r="IF6" s="35">
        <v>-2.215E-2</v>
      </c>
      <c r="IG6" s="36">
        <v>-47357413.986230001</v>
      </c>
      <c r="IH6" s="34">
        <v>9.0440000000000008E-4</v>
      </c>
      <c r="II6" s="35">
        <v>-2.215E-2</v>
      </c>
      <c r="IJ6" s="37">
        <v>83.633870000000002</v>
      </c>
      <c r="IK6" s="34">
        <v>1.3632E-3</v>
      </c>
      <c r="IL6" s="35">
        <v>-2.6919999999999999E-2</v>
      </c>
      <c r="IM6" s="36">
        <v>0</v>
      </c>
      <c r="IN6" s="34">
        <v>1.0941E-3</v>
      </c>
      <c r="IO6" s="35">
        <v>-2.6919999999999999E-2</v>
      </c>
      <c r="IP6" s="37">
        <v>84.514219999999995</v>
      </c>
      <c r="IQ6" s="34">
        <v>7.2179999999999998E-4</v>
      </c>
      <c r="IR6" s="35">
        <v>-1.5910000000000001E-2</v>
      </c>
      <c r="IS6" s="36">
        <v>-11673214.098680001</v>
      </c>
      <c r="IT6" s="34">
        <v>5.6269999999999996E-4</v>
      </c>
      <c r="IU6" s="35">
        <v>-1.5910000000000001E-2</v>
      </c>
      <c r="IV6" s="37">
        <v>81.351920000000007</v>
      </c>
      <c r="IW6" s="34">
        <v>4.9934399999999997E-2</v>
      </c>
      <c r="IX6" s="35">
        <v>-0.83501000000000003</v>
      </c>
      <c r="IY6" s="36"/>
      <c r="IZ6" s="34">
        <v>4.1584399999999994E-2</v>
      </c>
      <c r="JA6" s="35">
        <v>-0.83501000000000003</v>
      </c>
      <c r="JB6" s="37"/>
      <c r="JC6" s="34">
        <v>7.7935000000000001E-3</v>
      </c>
      <c r="JD6" s="35">
        <v>-0.17147999999999999</v>
      </c>
      <c r="JE6" s="36"/>
      <c r="JF6" s="34">
        <v>6.0787000000000002E-3</v>
      </c>
      <c r="JG6" s="35">
        <v>-0.17147999999999999</v>
      </c>
      <c r="JH6" s="37">
        <v>82.166380000000004</v>
      </c>
      <c r="JI6" s="34">
        <v>4.1751000000000002E-3</v>
      </c>
      <c r="JJ6" s="35">
        <v>-9.6060000000000006E-2</v>
      </c>
      <c r="JK6" s="36">
        <v>-44270900.527510002</v>
      </c>
      <c r="JL6" s="34">
        <v>3.2145000000000003E-3</v>
      </c>
      <c r="JM6" s="35">
        <v>-9.6060000000000006E-2</v>
      </c>
      <c r="JN6" s="37">
        <v>83.277389999999997</v>
      </c>
      <c r="JO6" s="36">
        <v>8114.8366100000003</v>
      </c>
      <c r="JP6" s="36">
        <v>3462.5567599999999</v>
      </c>
      <c r="JQ6" s="36">
        <v>76825435.496110007</v>
      </c>
      <c r="JR6" s="36">
        <v>11577.39336</v>
      </c>
      <c r="JS6" s="38">
        <v>0.42669460000000003</v>
      </c>
      <c r="JT6" s="37">
        <v>123.37309</v>
      </c>
      <c r="JU6" s="36">
        <v>8297.5178500000002</v>
      </c>
      <c r="JV6" s="36">
        <v>3311.71893</v>
      </c>
      <c r="JW6" s="36">
        <v>56865805.788039997</v>
      </c>
      <c r="JX6" s="36">
        <v>11609.23677</v>
      </c>
      <c r="JY6" s="38">
        <v>0.39912160000000002</v>
      </c>
      <c r="JZ6" s="37">
        <v>122.46214999999999</v>
      </c>
      <c r="KA6" s="36">
        <v>7512.93923</v>
      </c>
      <c r="KB6" s="36">
        <v>3951.6485299999999</v>
      </c>
      <c r="KC6" s="36">
        <v>19808063.97899</v>
      </c>
      <c r="KD6" s="36">
        <v>11464.58776</v>
      </c>
      <c r="KE6" s="38">
        <v>0.52597899999999997</v>
      </c>
      <c r="KF6" s="37">
        <v>124.01479999999999</v>
      </c>
      <c r="KG6" s="37">
        <v>4</v>
      </c>
      <c r="KH6" s="37">
        <v>0</v>
      </c>
      <c r="KI6" s="36"/>
      <c r="KJ6" s="37">
        <v>4</v>
      </c>
      <c r="KK6" s="38">
        <v>0</v>
      </c>
      <c r="KL6" s="37">
        <v>100</v>
      </c>
      <c r="KM6" s="37">
        <v>4</v>
      </c>
      <c r="KN6" s="37">
        <v>0</v>
      </c>
      <c r="KO6" s="36"/>
      <c r="KP6" s="37">
        <v>4</v>
      </c>
      <c r="KQ6" s="38">
        <v>0</v>
      </c>
      <c r="KR6" s="37">
        <v>100</v>
      </c>
      <c r="KS6" s="37">
        <v>4</v>
      </c>
      <c r="KT6" s="37">
        <v>0</v>
      </c>
      <c r="KU6" s="36"/>
      <c r="KV6" s="37">
        <v>4</v>
      </c>
      <c r="KW6" s="38">
        <v>0</v>
      </c>
      <c r="KX6" s="37">
        <v>100</v>
      </c>
      <c r="KY6" s="37">
        <v>26078</v>
      </c>
      <c r="KZ6" s="37">
        <v>-7004</v>
      </c>
      <c r="LA6" s="37">
        <v>19074</v>
      </c>
      <c r="LB6" s="38">
        <v>-0.26857890000000001</v>
      </c>
      <c r="LC6" s="37">
        <v>82.950829999999996</v>
      </c>
      <c r="LD6" s="37">
        <v>20006</v>
      </c>
      <c r="LE6" s="37">
        <v>-5131</v>
      </c>
      <c r="LF6" s="37">
        <v>14875</v>
      </c>
      <c r="LG6" s="38">
        <v>-0.25647310000000001</v>
      </c>
      <c r="LH6" s="37">
        <v>83.651129999999995</v>
      </c>
      <c r="LI6" s="37">
        <v>6072</v>
      </c>
      <c r="LJ6" s="37">
        <v>-1873</v>
      </c>
      <c r="LK6" s="37">
        <v>4199</v>
      </c>
      <c r="LL6" s="38">
        <v>-0.30846509999999999</v>
      </c>
      <c r="LM6" s="37">
        <v>81.551500000000004</v>
      </c>
      <c r="LN6" s="39">
        <v>1.41255</v>
      </c>
      <c r="LO6" s="39">
        <v>1.2120000000000001E-2</v>
      </c>
      <c r="LP6" s="39">
        <v>1.4246700000000001</v>
      </c>
      <c r="LQ6" s="38">
        <v>8.5789000000000004E-3</v>
      </c>
      <c r="LR6" s="37">
        <v>100.44814</v>
      </c>
      <c r="LS6" s="39">
        <v>1.2465599999999999</v>
      </c>
      <c r="LT6" s="39">
        <v>7.8700000000000003E-3</v>
      </c>
      <c r="LU6" s="36">
        <v>1065629.8762000001</v>
      </c>
      <c r="LV6" s="39">
        <v>1.2544299999999999</v>
      </c>
      <c r="LW6" s="38">
        <v>6.3134000000000003E-3</v>
      </c>
      <c r="LX6" s="37">
        <v>98.983490000000003</v>
      </c>
      <c r="LY6" s="39">
        <v>1.2395099999999999</v>
      </c>
      <c r="LZ6" s="39">
        <v>1.1900000000000001E-2</v>
      </c>
      <c r="MA6" s="36">
        <v>2066170.86845</v>
      </c>
      <c r="MB6" s="39">
        <v>1.2514099999999999</v>
      </c>
      <c r="MC6" s="38">
        <v>9.6030000000000004E-3</v>
      </c>
      <c r="MD6" s="37">
        <v>99.182019999999994</v>
      </c>
      <c r="ME6" s="39">
        <v>1.2168300000000001</v>
      </c>
      <c r="MF6" s="39">
        <v>2.401E-2</v>
      </c>
      <c r="MG6" s="36">
        <v>915602.98979000002</v>
      </c>
      <c r="MH6" s="39">
        <v>1.2408399999999999</v>
      </c>
      <c r="MI6" s="38">
        <v>1.97279E-2</v>
      </c>
      <c r="MJ6" s="37">
        <v>100.2516</v>
      </c>
      <c r="MK6" s="36">
        <v>0</v>
      </c>
      <c r="ML6" s="36">
        <v>0</v>
      </c>
      <c r="MM6" s="36">
        <v>0</v>
      </c>
      <c r="MN6" s="36">
        <v>0</v>
      </c>
      <c r="MO6" s="36">
        <v>0</v>
      </c>
      <c r="MP6" s="36">
        <v>0</v>
      </c>
      <c r="MQ6" s="36">
        <v>0</v>
      </c>
      <c r="MR6" s="36">
        <v>0</v>
      </c>
      <c r="MS6" s="36">
        <v>0</v>
      </c>
      <c r="MT6" s="37">
        <v>26078</v>
      </c>
      <c r="MU6" s="37">
        <v>-7004</v>
      </c>
      <c r="MV6" s="36">
        <v>-67616943.516110003</v>
      </c>
      <c r="MW6" s="37">
        <v>19074</v>
      </c>
      <c r="MX6" s="38">
        <v>-0.26857890000000001</v>
      </c>
      <c r="MY6" s="37">
        <v>20006</v>
      </c>
      <c r="MZ6" s="37">
        <v>-5131</v>
      </c>
      <c r="NA6" s="36">
        <v>-50178550.798040003</v>
      </c>
      <c r="NB6" s="37">
        <v>14875</v>
      </c>
      <c r="NC6" s="38">
        <v>-0.25647310000000001</v>
      </c>
      <c r="ND6" s="37">
        <v>6072</v>
      </c>
      <c r="NE6" s="37">
        <v>-1873</v>
      </c>
      <c r="NF6" s="36">
        <v>-17286826.988990001</v>
      </c>
      <c r="NG6" s="37">
        <v>4199</v>
      </c>
      <c r="NH6" s="38">
        <v>-0.30846509999999999</v>
      </c>
      <c r="NI6" s="36">
        <v>211618709.00999999</v>
      </c>
      <c r="NJ6" s="36">
        <v>9208491.9800000004</v>
      </c>
      <c r="NK6" s="36">
        <v>9208491.9800000004</v>
      </c>
      <c r="NL6" s="36">
        <v>220827200.99000001</v>
      </c>
      <c r="NM6" s="38">
        <v>4.3514499999999998E-2</v>
      </c>
      <c r="NN6" s="37">
        <v>102.339</v>
      </c>
      <c r="NO6" s="36">
        <v>166000142.00999999</v>
      </c>
      <c r="NP6" s="36">
        <v>6687254.9900000002</v>
      </c>
      <c r="NQ6" s="36">
        <v>6687254.9900000002</v>
      </c>
      <c r="NR6" s="36">
        <v>172687397</v>
      </c>
      <c r="NS6" s="38">
        <v>4.0284599999999997E-2</v>
      </c>
      <c r="NT6" s="37">
        <v>102.44098</v>
      </c>
      <c r="NU6" s="36">
        <v>45618567</v>
      </c>
      <c r="NV6" s="36">
        <v>2521236.9900000002</v>
      </c>
      <c r="NW6" s="36">
        <v>2521236.9900000002</v>
      </c>
      <c r="NX6" s="36">
        <v>48139803.990000002</v>
      </c>
      <c r="NY6" s="38">
        <v>5.5267799999999999E-2</v>
      </c>
      <c r="NZ6" s="37">
        <v>101.13593</v>
      </c>
      <c r="OA6" s="36">
        <v>519947.68799000001</v>
      </c>
      <c r="OB6" s="36">
        <v>46275.904300000002</v>
      </c>
      <c r="OC6" s="36"/>
      <c r="OD6" s="36">
        <v>566223.59227999998</v>
      </c>
      <c r="OE6" s="38">
        <v>8.90011E-2</v>
      </c>
      <c r="OF6" s="37">
        <v>103.083</v>
      </c>
      <c r="OG6" s="36">
        <v>415000.35502000002</v>
      </c>
      <c r="OH6" s="36">
        <v>33538.338479999999</v>
      </c>
      <c r="OI6" s="36"/>
      <c r="OJ6" s="36">
        <v>448538.69351000001</v>
      </c>
      <c r="OK6" s="38">
        <v>8.081519999999999E-2</v>
      </c>
      <c r="OL6" s="37">
        <v>102.72805</v>
      </c>
      <c r="OM6" s="36">
        <v>123963.49728</v>
      </c>
      <c r="ON6" s="36">
        <v>13578.79983</v>
      </c>
      <c r="OO6" s="36"/>
      <c r="OP6" s="36">
        <v>137542.29711000001</v>
      </c>
      <c r="OQ6" s="38">
        <v>0.1095387</v>
      </c>
      <c r="OR6" s="37">
        <v>102.63638</v>
      </c>
      <c r="OS6" s="39">
        <v>64.073710000000005</v>
      </c>
      <c r="OT6" s="39">
        <v>-15.16602</v>
      </c>
      <c r="OU6" s="36"/>
      <c r="OV6" s="39">
        <v>48.907690000000002</v>
      </c>
      <c r="OW6" s="38">
        <v>-0.2366964</v>
      </c>
      <c r="OX6" s="37">
        <v>83.553880000000007</v>
      </c>
      <c r="OY6" s="39">
        <v>50.015000000000001</v>
      </c>
      <c r="OZ6" s="39">
        <v>-11.378640000000001</v>
      </c>
      <c r="PA6" s="36"/>
      <c r="PB6" s="39">
        <v>38.636360000000003</v>
      </c>
      <c r="PC6" s="38">
        <v>-0.2275045</v>
      </c>
      <c r="PD6" s="37">
        <v>83.885549999999995</v>
      </c>
      <c r="PE6" s="39">
        <v>16.5</v>
      </c>
      <c r="PF6" s="39">
        <v>-4.5028600000000001</v>
      </c>
      <c r="PG6" s="36"/>
      <c r="PH6" s="39">
        <v>11.99714</v>
      </c>
      <c r="PI6" s="38">
        <v>-0.27290039999999999</v>
      </c>
      <c r="PJ6" s="37">
        <v>82.761390000000006</v>
      </c>
      <c r="PK6" s="36">
        <v>123075.8759</v>
      </c>
      <c r="PL6" s="36">
        <v>9044.1631199999993</v>
      </c>
      <c r="PM6" s="36"/>
      <c r="PN6" s="36">
        <v>132120.03902</v>
      </c>
      <c r="PO6" s="38">
        <v>7.3484499999999994E-2</v>
      </c>
      <c r="PP6" s="37"/>
      <c r="PQ6" s="39">
        <v>15.16677</v>
      </c>
      <c r="PR6" s="39">
        <v>-3.7548699999999999</v>
      </c>
      <c r="PS6" s="36"/>
      <c r="PT6" s="39">
        <v>11.411899999999999</v>
      </c>
      <c r="PU6" s="38">
        <v>-0.2475723</v>
      </c>
      <c r="PV6" s="37"/>
      <c r="PW6" s="37">
        <v>21039</v>
      </c>
      <c r="PX6" s="37">
        <v>-5797</v>
      </c>
      <c r="PY6" s="36">
        <v>-69683114.384560004</v>
      </c>
      <c r="PZ6" s="37">
        <v>15242</v>
      </c>
      <c r="QA6" s="38">
        <v>-0.2755359</v>
      </c>
      <c r="QB6" s="37">
        <v>83.634950000000003</v>
      </c>
      <c r="QC6" s="37">
        <v>16049</v>
      </c>
      <c r="QD6" s="37">
        <v>-4191</v>
      </c>
      <c r="QE6" s="36">
        <v>0</v>
      </c>
      <c r="QF6" s="37">
        <v>11858</v>
      </c>
      <c r="QG6" s="38">
        <v>-0.26113779999999998</v>
      </c>
      <c r="QH6" s="37">
        <v>84.510189999999994</v>
      </c>
      <c r="QI6" s="37">
        <v>4990</v>
      </c>
      <c r="QJ6" s="37">
        <v>-1606</v>
      </c>
      <c r="QK6" s="36">
        <v>-18202429.978780001</v>
      </c>
      <c r="QL6" s="37">
        <v>3384</v>
      </c>
      <c r="QM6" s="38">
        <v>-0.32184370000000001</v>
      </c>
      <c r="QN6" s="37">
        <v>81.346829999999997</v>
      </c>
      <c r="QO6" s="37">
        <v>18685753</v>
      </c>
      <c r="QP6" s="37">
        <v>-1833361</v>
      </c>
      <c r="QQ6" s="36">
        <v>-22325700.398329999</v>
      </c>
      <c r="QR6" s="37">
        <v>16852392</v>
      </c>
      <c r="QS6" s="38">
        <v>-9.8115400000000005E-2</v>
      </c>
      <c r="QT6" s="37">
        <v>100</v>
      </c>
      <c r="QU6" s="37">
        <v>11772767</v>
      </c>
      <c r="QV6" s="37">
        <v>-934378</v>
      </c>
      <c r="QW6" s="36">
        <v>0</v>
      </c>
      <c r="QX6" s="37">
        <v>10838389</v>
      </c>
      <c r="QY6" s="38">
        <v>-7.9367699999999999E-2</v>
      </c>
      <c r="QZ6" s="37">
        <v>100</v>
      </c>
      <c r="RA6" s="37">
        <v>6912986</v>
      </c>
      <c r="RB6" s="37">
        <v>-898983</v>
      </c>
      <c r="RC6" s="36">
        <v>-6529215.8800999997</v>
      </c>
      <c r="RD6" s="37">
        <v>6014003</v>
      </c>
      <c r="RE6" s="38">
        <v>-0.13004260000000001</v>
      </c>
      <c r="RF6" s="37">
        <v>100</v>
      </c>
    </row>
    <row r="7" spans="1:474" x14ac:dyDescent="0.25">
      <c r="A7" s="1" t="s">
        <v>505</v>
      </c>
      <c r="B7" s="1" t="s">
        <v>509</v>
      </c>
      <c r="C7" s="34">
        <v>3.2599799999999998E-2</v>
      </c>
      <c r="D7" s="35">
        <v>-1.5417700000000001</v>
      </c>
      <c r="E7" s="36"/>
      <c r="F7" s="34">
        <v>1.7182099999999999E-2</v>
      </c>
      <c r="G7" s="35">
        <v>-1.5417700000000001</v>
      </c>
      <c r="H7" s="37">
        <v>57.538159999999998</v>
      </c>
      <c r="I7" s="37">
        <v>140</v>
      </c>
      <c r="J7" s="37">
        <v>8</v>
      </c>
      <c r="K7" s="36">
        <v>0</v>
      </c>
      <c r="L7" s="37">
        <v>148</v>
      </c>
      <c r="M7" s="38">
        <v>5.7142900000000003E-2</v>
      </c>
      <c r="N7" s="37">
        <v>109.5261</v>
      </c>
      <c r="O7" s="37">
        <v>84</v>
      </c>
      <c r="P7" s="37">
        <v>-4</v>
      </c>
      <c r="Q7" s="36"/>
      <c r="R7" s="37">
        <v>80</v>
      </c>
      <c r="S7" s="38">
        <v>-4.7618999999999995E-2</v>
      </c>
      <c r="T7" s="37">
        <v>98.672160000000005</v>
      </c>
      <c r="U7" s="37">
        <v>149</v>
      </c>
      <c r="V7" s="37">
        <v>10</v>
      </c>
      <c r="W7" s="36"/>
      <c r="X7" s="37">
        <v>159</v>
      </c>
      <c r="Y7" s="38">
        <v>6.7114099999999996E-2</v>
      </c>
      <c r="Z7" s="37">
        <v>110.55918</v>
      </c>
      <c r="AA7" s="37">
        <v>1227</v>
      </c>
      <c r="AB7" s="37">
        <v>-354</v>
      </c>
      <c r="AC7" s="36">
        <v>-28221131.74515</v>
      </c>
      <c r="AD7" s="37">
        <v>873</v>
      </c>
      <c r="AE7" s="38">
        <v>-0.2885086</v>
      </c>
      <c r="AF7" s="37">
        <v>80.373480000000001</v>
      </c>
      <c r="AG7" s="37">
        <v>3392279</v>
      </c>
      <c r="AH7" s="37">
        <v>-144181</v>
      </c>
      <c r="AI7" s="36">
        <v>-3600881.0743300002</v>
      </c>
      <c r="AJ7" s="37">
        <v>3248098</v>
      </c>
      <c r="AK7" s="38">
        <v>-4.2502700000000004E-2</v>
      </c>
      <c r="AL7" s="37">
        <v>100</v>
      </c>
      <c r="AM7" s="36">
        <v>298005.23794999998</v>
      </c>
      <c r="AN7" s="38">
        <v>4.8301999999999998E-3</v>
      </c>
      <c r="AO7" s="36">
        <v>762559.04728000006</v>
      </c>
      <c r="AP7" s="38">
        <v>1.5103399999999999E-2</v>
      </c>
      <c r="AQ7" s="36">
        <v>354482.67284000001</v>
      </c>
      <c r="AR7" s="38">
        <v>3.3065699999999996E-2</v>
      </c>
      <c r="AS7" s="36">
        <v>733810</v>
      </c>
      <c r="AT7" s="36">
        <v>-733810</v>
      </c>
      <c r="AU7" s="36">
        <v>-733810</v>
      </c>
      <c r="AV7" s="36">
        <v>566710</v>
      </c>
      <c r="AW7" s="36">
        <v>-566710</v>
      </c>
      <c r="AX7" s="36">
        <v>-566710</v>
      </c>
      <c r="AY7" s="36">
        <v>167100</v>
      </c>
      <c r="AZ7" s="36">
        <v>-167100</v>
      </c>
      <c r="BA7" s="36">
        <v>-167100</v>
      </c>
      <c r="BB7" s="36">
        <v>6724743.1221399996</v>
      </c>
      <c r="BC7" s="34">
        <v>0.1148663</v>
      </c>
      <c r="BD7" s="36">
        <v>4037538.6094399998</v>
      </c>
      <c r="BE7" s="34">
        <v>8.2605299999999993E-2</v>
      </c>
      <c r="BF7" s="36">
        <v>1559031.5660699999</v>
      </c>
      <c r="BG7" s="34">
        <v>0.1538127</v>
      </c>
      <c r="BH7" s="34">
        <v>0.36154000000000003</v>
      </c>
      <c r="BI7" s="35">
        <v>6.75</v>
      </c>
      <c r="BJ7" s="36"/>
      <c r="BK7" s="34">
        <v>0.42902999999999997</v>
      </c>
      <c r="BL7" s="35">
        <v>6.75</v>
      </c>
      <c r="BM7" s="37"/>
      <c r="BN7" s="39">
        <v>1.03423</v>
      </c>
      <c r="BO7" s="39">
        <v>-1.247E-2</v>
      </c>
      <c r="BP7" s="36">
        <v>-1005376.59321</v>
      </c>
      <c r="BQ7" s="39">
        <v>1.02176</v>
      </c>
      <c r="BR7" s="38">
        <v>-1.20532E-2</v>
      </c>
      <c r="BS7" s="37">
        <v>100.03134</v>
      </c>
      <c r="BT7" s="36">
        <v>6144400</v>
      </c>
      <c r="BU7" s="36">
        <v>-1424662</v>
      </c>
      <c r="BV7" s="36"/>
      <c r="BW7" s="36">
        <v>5205699</v>
      </c>
      <c r="BX7" s="36">
        <v>-1341274</v>
      </c>
      <c r="BY7" s="36"/>
      <c r="BZ7" s="36">
        <v>3864425</v>
      </c>
      <c r="CA7" s="34">
        <v>-0.25765490000000002</v>
      </c>
      <c r="CB7" s="37"/>
      <c r="CC7" s="36">
        <v>938701</v>
      </c>
      <c r="CD7" s="36">
        <v>-83388</v>
      </c>
      <c r="CE7" s="36"/>
      <c r="CF7" s="36">
        <v>855313</v>
      </c>
      <c r="CG7" s="34">
        <v>-8.8833400000000007E-2</v>
      </c>
      <c r="CH7" s="37"/>
      <c r="CI7" s="36">
        <v>4719738</v>
      </c>
      <c r="CJ7" s="34">
        <v>-0.2318635</v>
      </c>
      <c r="CK7" s="37"/>
      <c r="CL7" s="36">
        <v>3974.3855100000001</v>
      </c>
      <c r="CM7" s="36">
        <v>395.74227000000002</v>
      </c>
      <c r="CN7" s="36"/>
      <c r="CO7" s="36">
        <v>4102.2056700000003</v>
      </c>
      <c r="CP7" s="36">
        <v>230.10935000000001</v>
      </c>
      <c r="CQ7" s="36"/>
      <c r="CR7" s="36">
        <v>4332.31502</v>
      </c>
      <c r="CS7" s="38">
        <v>5.6094099999999994E-2</v>
      </c>
      <c r="CT7" s="37"/>
      <c r="CU7" s="36">
        <v>3388.8122699999999</v>
      </c>
      <c r="CV7" s="36">
        <v>1160.72496</v>
      </c>
      <c r="CW7" s="36"/>
      <c r="CX7" s="36">
        <v>4549.5372299999999</v>
      </c>
      <c r="CY7" s="38">
        <v>0.34251669999999995</v>
      </c>
      <c r="CZ7" s="37"/>
      <c r="DA7" s="36">
        <v>4370.1277799999998</v>
      </c>
      <c r="DB7" s="38">
        <v>9.9573199999999987E-2</v>
      </c>
      <c r="DC7" s="37"/>
      <c r="DD7" s="36">
        <v>379316.23874</v>
      </c>
      <c r="DE7" s="36">
        <v>-18277.296829999999</v>
      </c>
      <c r="DF7" s="36"/>
      <c r="DG7" s="36">
        <v>361038.94190999999</v>
      </c>
      <c r="DH7" s="38">
        <v>-4.8184899999999996E-2</v>
      </c>
      <c r="DI7" s="37"/>
      <c r="DJ7" s="36">
        <v>192622.6856</v>
      </c>
      <c r="DK7" s="36">
        <v>2450.0166399999998</v>
      </c>
      <c r="DL7" s="36"/>
      <c r="DM7" s="36">
        <v>195072.70223</v>
      </c>
      <c r="DN7" s="38">
        <v>1.2719299999999999E-2</v>
      </c>
      <c r="DO7" s="37"/>
      <c r="DP7" s="36">
        <v>345865.97081000003</v>
      </c>
      <c r="DQ7" s="36">
        <v>-13717.448399999999</v>
      </c>
      <c r="DR7" s="36"/>
      <c r="DS7" s="36">
        <v>332148.52240999998</v>
      </c>
      <c r="DT7" s="38">
        <v>-3.9661200000000001E-2</v>
      </c>
      <c r="DU7" s="37"/>
      <c r="DV7" s="36">
        <v>4242.6234700000005</v>
      </c>
      <c r="DW7" s="36">
        <v>183.98018999999999</v>
      </c>
      <c r="DX7" s="36"/>
      <c r="DY7" s="36">
        <v>4426.6036700000004</v>
      </c>
      <c r="DZ7" s="34">
        <v>4.3364700000000006E-2</v>
      </c>
      <c r="EA7" s="37"/>
      <c r="EB7" s="36">
        <v>392300.16866999998</v>
      </c>
      <c r="EC7" s="36">
        <v>-23403.56365</v>
      </c>
      <c r="ED7" s="36"/>
      <c r="EE7" s="36">
        <v>368896.60502000002</v>
      </c>
      <c r="EF7" s="38">
        <v>-5.9657299999999996E-2</v>
      </c>
      <c r="EG7" s="37"/>
      <c r="EH7" s="36">
        <v>481352306.95999998</v>
      </c>
      <c r="EI7" s="36">
        <v>-159305570.78</v>
      </c>
      <c r="EJ7" s="36"/>
      <c r="EK7" s="36">
        <v>322046736.18000001</v>
      </c>
      <c r="EL7" s="38">
        <v>-0.33095419999999998</v>
      </c>
      <c r="EM7" s="37"/>
      <c r="EN7" s="36">
        <v>53356483.909999996</v>
      </c>
      <c r="EO7" s="36">
        <v>-16682815.890000001</v>
      </c>
      <c r="EP7" s="36"/>
      <c r="EQ7" s="36">
        <v>36673668.020000003</v>
      </c>
      <c r="ER7" s="38">
        <v>-0.31266709999999998</v>
      </c>
      <c r="ES7" s="37"/>
      <c r="ET7" s="36">
        <v>534708790.87</v>
      </c>
      <c r="EU7" s="36">
        <v>-175988386.66999999</v>
      </c>
      <c r="EV7" s="36"/>
      <c r="EW7" s="36">
        <v>358720404.19999999</v>
      </c>
      <c r="EX7" s="38">
        <v>-0.32912940000000002</v>
      </c>
      <c r="EY7" s="37"/>
      <c r="EZ7" s="36">
        <v>71205.148329999996</v>
      </c>
      <c r="FA7" s="36">
        <v>18830.721089999999</v>
      </c>
      <c r="FB7" s="36">
        <v>19453728.74515</v>
      </c>
      <c r="FC7" s="36">
        <v>90035.869420000003</v>
      </c>
      <c r="FD7" s="38">
        <v>0.26445730000000001</v>
      </c>
      <c r="FE7" s="37">
        <v>110.22563</v>
      </c>
      <c r="FF7" s="36">
        <v>73033.47047</v>
      </c>
      <c r="FG7" s="36">
        <v>18526.99683</v>
      </c>
      <c r="FH7" s="36">
        <v>91560.467300000004</v>
      </c>
      <c r="FI7" s="38">
        <v>0.25367819999999996</v>
      </c>
      <c r="FJ7" s="37">
        <v>113.45995000000001</v>
      </c>
      <c r="FK7" s="36">
        <v>67119.617719999995</v>
      </c>
      <c r="FL7" s="36">
        <v>21157.742460000001</v>
      </c>
      <c r="FM7" s="36">
        <v>27262017.96816</v>
      </c>
      <c r="FN7" s="36">
        <v>88277.360190000007</v>
      </c>
      <c r="FO7" s="38">
        <v>0.31522440000000002</v>
      </c>
      <c r="FP7" s="37">
        <v>111.73045999999999</v>
      </c>
      <c r="FQ7" s="36">
        <v>68848.476750000002</v>
      </c>
      <c r="FR7" s="36">
        <v>19269.58827</v>
      </c>
      <c r="FS7" s="36">
        <v>20459105.33836</v>
      </c>
      <c r="FT7" s="36">
        <v>88118.065019999995</v>
      </c>
      <c r="FU7" s="38">
        <v>0.27988399999999997</v>
      </c>
      <c r="FV7" s="37">
        <v>110.19110999999999</v>
      </c>
      <c r="FW7" s="36">
        <v>59199.321300000003</v>
      </c>
      <c r="FX7" s="36">
        <v>29833.84359</v>
      </c>
      <c r="FY7" s="36">
        <v>6761235.8389499998</v>
      </c>
      <c r="FZ7" s="36">
        <v>89033.16489</v>
      </c>
      <c r="GA7" s="38">
        <v>0.50395580000000006</v>
      </c>
      <c r="GB7" s="37">
        <v>120.16198</v>
      </c>
      <c r="GC7" s="37">
        <v>8</v>
      </c>
      <c r="GD7" s="37">
        <v>4</v>
      </c>
      <c r="GE7" s="36"/>
      <c r="GF7" s="37">
        <v>12</v>
      </c>
      <c r="GG7" s="38">
        <v>0.5</v>
      </c>
      <c r="GH7" s="37"/>
      <c r="GI7" s="37">
        <v>8</v>
      </c>
      <c r="GJ7" s="37">
        <v>4</v>
      </c>
      <c r="GK7" s="36"/>
      <c r="GL7" s="37">
        <v>12</v>
      </c>
      <c r="GM7" s="38">
        <v>0.5</v>
      </c>
      <c r="GN7" s="37"/>
      <c r="GO7" s="37">
        <v>8</v>
      </c>
      <c r="GP7" s="37">
        <v>4</v>
      </c>
      <c r="GQ7" s="36"/>
      <c r="GR7" s="37">
        <v>12</v>
      </c>
      <c r="GS7" s="38">
        <v>0.5</v>
      </c>
      <c r="GT7" s="37"/>
      <c r="GU7" s="34">
        <v>2.3788900000000002E-2</v>
      </c>
      <c r="GV7" s="35">
        <v>-0.23535</v>
      </c>
      <c r="GW7" s="36"/>
      <c r="GX7" s="34">
        <v>2.1435399999999997E-2</v>
      </c>
      <c r="GY7" s="35">
        <v>-0.23535</v>
      </c>
      <c r="GZ7" s="37"/>
      <c r="HA7" s="34">
        <v>2.3544499999999999E-2</v>
      </c>
      <c r="HB7" s="35">
        <v>-0.26859</v>
      </c>
      <c r="HC7" s="36"/>
      <c r="HD7" s="34">
        <v>2.0858599999999998E-2</v>
      </c>
      <c r="HE7" s="35">
        <v>-0.26859</v>
      </c>
      <c r="HF7" s="37"/>
      <c r="HG7" s="34">
        <v>2.5181599999999998E-2</v>
      </c>
      <c r="HH7" s="35">
        <v>-5.4739999999999997E-2</v>
      </c>
      <c r="HI7" s="36"/>
      <c r="HJ7" s="34">
        <v>2.4634200000000002E-2</v>
      </c>
      <c r="HK7" s="35">
        <v>-5.4739999999999997E-2</v>
      </c>
      <c r="HL7" s="37"/>
      <c r="HM7" s="34">
        <v>3.7193E-3</v>
      </c>
      <c r="HN7" s="35">
        <v>-0.10517</v>
      </c>
      <c r="HO7" s="36"/>
      <c r="HP7" s="34">
        <v>2.6676E-3</v>
      </c>
      <c r="HQ7" s="35">
        <v>-0.10517</v>
      </c>
      <c r="HR7" s="37"/>
      <c r="HS7" s="34">
        <v>3.8400000000000001E-3</v>
      </c>
      <c r="HT7" s="35">
        <v>-0.11443</v>
      </c>
      <c r="HU7" s="36"/>
      <c r="HV7" s="34">
        <v>2.6956999999999997E-3</v>
      </c>
      <c r="HW7" s="35">
        <v>-0.11443</v>
      </c>
      <c r="HX7" s="37"/>
      <c r="HY7" s="34">
        <v>3.1443E-3</v>
      </c>
      <c r="HZ7" s="35">
        <v>-6.1719999999999997E-2</v>
      </c>
      <c r="IA7" s="36"/>
      <c r="IB7" s="34">
        <v>2.5271E-3</v>
      </c>
      <c r="IC7" s="35">
        <v>-6.1719999999999997E-2</v>
      </c>
      <c r="ID7" s="37"/>
      <c r="IE7" s="34">
        <v>8.2699999999999991E-5</v>
      </c>
      <c r="IF7" s="35">
        <v>-1.8699999999999999E-3</v>
      </c>
      <c r="IG7" s="36">
        <v>-25414800.972040001</v>
      </c>
      <c r="IH7" s="34">
        <v>6.41E-5</v>
      </c>
      <c r="II7" s="35">
        <v>-1.8699999999999999E-3</v>
      </c>
      <c r="IJ7" s="37">
        <v>80.70008</v>
      </c>
      <c r="IK7" s="34">
        <v>1.0779999999999999E-4</v>
      </c>
      <c r="IL7" s="35">
        <v>-2.5500000000000002E-3</v>
      </c>
      <c r="IM7" s="36">
        <v>0</v>
      </c>
      <c r="IN7" s="34">
        <v>8.2299999999999995E-5</v>
      </c>
      <c r="IO7" s="35">
        <v>-2.5500000000000002E-3</v>
      </c>
      <c r="IP7" s="37">
        <v>80.392110000000002</v>
      </c>
      <c r="IQ7" s="34">
        <v>4.0099999999999999E-5</v>
      </c>
      <c r="IR7" s="35">
        <v>-8.8000000000000003E-4</v>
      </c>
      <c r="IS7" s="36">
        <v>-4113156.6039700001</v>
      </c>
      <c r="IT7" s="34">
        <v>3.1300000000000002E-5</v>
      </c>
      <c r="IU7" s="35">
        <v>-8.8000000000000003E-4</v>
      </c>
      <c r="IV7" s="37">
        <v>81.453119999999998</v>
      </c>
      <c r="IW7" s="34">
        <v>4.326E-3</v>
      </c>
      <c r="IX7" s="35">
        <v>-8.4900000000000003E-2</v>
      </c>
      <c r="IY7" s="36"/>
      <c r="IZ7" s="34">
        <v>3.4770000000000001E-3</v>
      </c>
      <c r="JA7" s="35">
        <v>-8.4900000000000003E-2</v>
      </c>
      <c r="JB7" s="37"/>
      <c r="JC7" s="34">
        <v>1.0534000000000001E-3</v>
      </c>
      <c r="JD7" s="35">
        <v>-3.4630000000000001E-2</v>
      </c>
      <c r="JE7" s="36"/>
      <c r="JF7" s="34">
        <v>7.071E-4</v>
      </c>
      <c r="JG7" s="35">
        <v>-3.4630000000000001E-2</v>
      </c>
      <c r="JH7" s="37">
        <v>70.71369</v>
      </c>
      <c r="JI7" s="34">
        <v>3.6170000000000001E-4</v>
      </c>
      <c r="JJ7" s="35">
        <v>-9.2899999999999996E-3</v>
      </c>
      <c r="JK7" s="36">
        <v>-24620250.670820002</v>
      </c>
      <c r="JL7" s="34">
        <v>2.6880000000000003E-4</v>
      </c>
      <c r="JM7" s="35">
        <v>-9.2899999999999996E-3</v>
      </c>
      <c r="JN7" s="37">
        <v>80.382459999999995</v>
      </c>
      <c r="JO7" s="36">
        <v>48466.571230000001</v>
      </c>
      <c r="JP7" s="36">
        <v>21946.68505</v>
      </c>
      <c r="JQ7" s="36">
        <v>37161639.836939998</v>
      </c>
      <c r="JR7" s="36">
        <v>70413.256280000001</v>
      </c>
      <c r="JS7" s="38">
        <v>0.45282110000000003</v>
      </c>
      <c r="JT7" s="37">
        <v>125.63236999999999</v>
      </c>
      <c r="JU7" s="36">
        <v>47820.863160000001</v>
      </c>
      <c r="JV7" s="36">
        <v>21127.657889999999</v>
      </c>
      <c r="JW7" s="36">
        <v>30335798.287670001</v>
      </c>
      <c r="JX7" s="36">
        <v>68948.521049999996</v>
      </c>
      <c r="JY7" s="38">
        <v>0.44180840000000005</v>
      </c>
      <c r="JZ7" s="37">
        <v>126.19843</v>
      </c>
      <c r="KA7" s="36">
        <v>52223.605100000001</v>
      </c>
      <c r="KB7" s="36">
        <v>25992.446309999999</v>
      </c>
      <c r="KC7" s="36">
        <v>6692338.0991399996</v>
      </c>
      <c r="KD7" s="36">
        <v>78216.051399999997</v>
      </c>
      <c r="KE7" s="38">
        <v>0.4977145</v>
      </c>
      <c r="KF7" s="37">
        <v>121.71777</v>
      </c>
      <c r="KG7" s="37">
        <v>4</v>
      </c>
      <c r="KH7" s="37">
        <v>0</v>
      </c>
      <c r="KI7" s="36"/>
      <c r="KJ7" s="37">
        <v>4</v>
      </c>
      <c r="KK7" s="38">
        <v>0</v>
      </c>
      <c r="KL7" s="37">
        <v>100</v>
      </c>
      <c r="KM7" s="37">
        <v>4</v>
      </c>
      <c r="KN7" s="37">
        <v>0</v>
      </c>
      <c r="KO7" s="36"/>
      <c r="KP7" s="37">
        <v>4</v>
      </c>
      <c r="KQ7" s="38">
        <v>0</v>
      </c>
      <c r="KR7" s="37">
        <v>100</v>
      </c>
      <c r="KS7" s="37">
        <v>4</v>
      </c>
      <c r="KT7" s="37">
        <v>0</v>
      </c>
      <c r="KU7" s="36"/>
      <c r="KV7" s="37">
        <v>4</v>
      </c>
      <c r="KW7" s="38">
        <v>0</v>
      </c>
      <c r="KX7" s="37">
        <v>100</v>
      </c>
      <c r="KY7" s="37">
        <v>2141</v>
      </c>
      <c r="KZ7" s="37">
        <v>-787</v>
      </c>
      <c r="LA7" s="37">
        <v>1354</v>
      </c>
      <c r="LB7" s="38">
        <v>-0.36758519999999995</v>
      </c>
      <c r="LC7" s="37">
        <v>71.722470000000001</v>
      </c>
      <c r="LD7" s="37">
        <v>1827</v>
      </c>
      <c r="LE7" s="37">
        <v>-687</v>
      </c>
      <c r="LF7" s="37">
        <v>1140</v>
      </c>
      <c r="LG7" s="38">
        <v>-0.37602629999999998</v>
      </c>
      <c r="LH7" s="37">
        <v>70.200699999999998</v>
      </c>
      <c r="LI7" s="37">
        <v>314</v>
      </c>
      <c r="LJ7" s="37">
        <v>-100</v>
      </c>
      <c r="LK7" s="37">
        <v>214</v>
      </c>
      <c r="LL7" s="38">
        <v>-0.31847130000000001</v>
      </c>
      <c r="LM7" s="37">
        <v>80.371480000000005</v>
      </c>
      <c r="LN7" s="39">
        <v>1.4890000000000001</v>
      </c>
      <c r="LO7" s="39">
        <v>-0.18315999999999999</v>
      </c>
      <c r="LP7" s="39">
        <v>1.3058399999999999</v>
      </c>
      <c r="LQ7" s="38">
        <v>-0.12300599999999999</v>
      </c>
      <c r="LR7" s="37">
        <v>87.343100000000007</v>
      </c>
      <c r="LS7" s="39">
        <v>1.4397200000000001</v>
      </c>
      <c r="LT7" s="39">
        <v>-0.16169</v>
      </c>
      <c r="LU7" s="36">
        <v>-9876692.9493099991</v>
      </c>
      <c r="LV7" s="39">
        <v>1.27803</v>
      </c>
      <c r="LW7" s="38">
        <v>-0.11230639999999999</v>
      </c>
      <c r="LX7" s="37">
        <v>87.315749999999994</v>
      </c>
      <c r="LY7" s="39">
        <v>1.38486</v>
      </c>
      <c r="LZ7" s="39">
        <v>-0.13116</v>
      </c>
      <c r="MA7" s="36">
        <v>-9899621.8687699996</v>
      </c>
      <c r="MB7" s="39">
        <v>1.2537</v>
      </c>
      <c r="MC7" s="38">
        <v>-9.4710000000000003E-2</v>
      </c>
      <c r="MD7" s="37">
        <v>88.934449999999998</v>
      </c>
      <c r="ME7" s="39">
        <v>1.13357</v>
      </c>
      <c r="MF7" s="39">
        <v>4.7200000000000002E-3</v>
      </c>
      <c r="MG7" s="36">
        <v>68897.739809999999</v>
      </c>
      <c r="MH7" s="39">
        <v>1.1383000000000001</v>
      </c>
      <c r="MI7" s="38">
        <v>4.1671999999999994E-3</v>
      </c>
      <c r="MJ7" s="37">
        <v>98.721800000000002</v>
      </c>
      <c r="MK7" s="36">
        <v>61897729</v>
      </c>
      <c r="ML7" s="36">
        <v>61897729</v>
      </c>
      <c r="MM7" s="36">
        <v>61897729</v>
      </c>
      <c r="MN7" s="36">
        <v>52042528</v>
      </c>
      <c r="MO7" s="36">
        <v>52042528</v>
      </c>
      <c r="MP7" s="36">
        <v>52042528</v>
      </c>
      <c r="MQ7" s="36">
        <v>9855201</v>
      </c>
      <c r="MR7" s="36">
        <v>9855201</v>
      </c>
      <c r="MS7" s="36">
        <v>9855201</v>
      </c>
      <c r="MT7" s="37">
        <v>2133</v>
      </c>
      <c r="MU7" s="37">
        <v>-1515</v>
      </c>
      <c r="MV7" s="36">
        <v>-76614047.360090002</v>
      </c>
      <c r="MW7" s="37">
        <v>618</v>
      </c>
      <c r="MX7" s="38">
        <v>-0.71026719999999999</v>
      </c>
      <c r="MY7" s="37">
        <v>1821</v>
      </c>
      <c r="MZ7" s="37">
        <v>-1314</v>
      </c>
      <c r="NA7" s="36">
        <v>-65043318.656719998</v>
      </c>
      <c r="NB7" s="37">
        <v>507</v>
      </c>
      <c r="NC7" s="38">
        <v>-0.7215815000000001</v>
      </c>
      <c r="ND7" s="37">
        <v>312</v>
      </c>
      <c r="NE7" s="37">
        <v>-201</v>
      </c>
      <c r="NF7" s="36">
        <v>-11261592.238910001</v>
      </c>
      <c r="NG7" s="37">
        <v>111</v>
      </c>
      <c r="NH7" s="38">
        <v>-0.64423079999999999</v>
      </c>
      <c r="NI7" s="36">
        <v>103766929</v>
      </c>
      <c r="NJ7" s="36">
        <v>-8427380</v>
      </c>
      <c r="NK7" s="36">
        <v>-8427380</v>
      </c>
      <c r="NL7" s="36">
        <v>95339549</v>
      </c>
      <c r="NM7" s="38">
        <v>-8.1214499999999995E-2</v>
      </c>
      <c r="NN7" s="37">
        <v>90.106639999999999</v>
      </c>
      <c r="NO7" s="36">
        <v>87368717</v>
      </c>
      <c r="NP7" s="36">
        <v>-8767403</v>
      </c>
      <c r="NQ7" s="36">
        <v>-8767403</v>
      </c>
      <c r="NR7" s="36">
        <v>78601314</v>
      </c>
      <c r="NS7" s="38">
        <v>-0.10034950000000001</v>
      </c>
      <c r="NT7" s="37">
        <v>88.592179999999999</v>
      </c>
      <c r="NU7" s="36">
        <v>16398212</v>
      </c>
      <c r="NV7" s="36">
        <v>340023</v>
      </c>
      <c r="NW7" s="36">
        <v>340023</v>
      </c>
      <c r="NX7" s="36">
        <v>16738235</v>
      </c>
      <c r="NY7" s="38">
        <v>2.0735400000000001E-2</v>
      </c>
      <c r="NZ7" s="37">
        <v>97.82638</v>
      </c>
      <c r="OA7" s="36">
        <v>696422.34227999998</v>
      </c>
      <c r="OB7" s="36">
        <v>-96802.537249999994</v>
      </c>
      <c r="OC7" s="36"/>
      <c r="OD7" s="36">
        <v>599619.80503000005</v>
      </c>
      <c r="OE7" s="38">
        <v>-0.13899980000000001</v>
      </c>
      <c r="OF7" s="37">
        <v>81.500829999999993</v>
      </c>
      <c r="OG7" s="36">
        <v>624062.26428999996</v>
      </c>
      <c r="OH7" s="36">
        <v>-92972.304829999994</v>
      </c>
      <c r="OI7" s="36"/>
      <c r="OJ7" s="36">
        <v>531089.95946000004</v>
      </c>
      <c r="OK7" s="38">
        <v>-0.14897919999999998</v>
      </c>
      <c r="OL7" s="37">
        <v>80.88682</v>
      </c>
      <c r="OM7" s="36">
        <v>195216.80952000001</v>
      </c>
      <c r="ON7" s="36">
        <v>14011.127979999999</v>
      </c>
      <c r="OO7" s="36"/>
      <c r="OP7" s="36">
        <v>209227.9375</v>
      </c>
      <c r="OQ7" s="38">
        <v>7.1772099999999991E-2</v>
      </c>
      <c r="OR7" s="37">
        <v>99.142830000000004</v>
      </c>
      <c r="OS7" s="39">
        <v>14.36913</v>
      </c>
      <c r="OT7" s="39">
        <v>-5.8533999999999997</v>
      </c>
      <c r="OU7" s="36"/>
      <c r="OV7" s="39">
        <v>8.51572</v>
      </c>
      <c r="OW7" s="38">
        <v>-0.40735979999999999</v>
      </c>
      <c r="OX7" s="37">
        <v>64.872470000000007</v>
      </c>
      <c r="OY7" s="39">
        <v>13.05</v>
      </c>
      <c r="OZ7" s="39">
        <v>-5.3472999999999997</v>
      </c>
      <c r="PA7" s="36"/>
      <c r="PB7" s="39">
        <v>7.7027000000000001</v>
      </c>
      <c r="PC7" s="38">
        <v>-0.40975459999999997</v>
      </c>
      <c r="PD7" s="37">
        <v>64.094949999999997</v>
      </c>
      <c r="PE7" s="39">
        <v>3.7381000000000002</v>
      </c>
      <c r="PF7" s="39">
        <v>-1.0630999999999999</v>
      </c>
      <c r="PG7" s="36"/>
      <c r="PH7" s="39">
        <v>2.6749999999999998</v>
      </c>
      <c r="PI7" s="38">
        <v>-0.28439490000000001</v>
      </c>
      <c r="PJ7" s="37">
        <v>81.453050000000005</v>
      </c>
      <c r="PK7" s="36">
        <v>161606.80668000001</v>
      </c>
      <c r="PL7" s="36">
        <v>-32633.405050000001</v>
      </c>
      <c r="PM7" s="36"/>
      <c r="PN7" s="36">
        <v>128973.40162999999</v>
      </c>
      <c r="PO7" s="38">
        <v>-0.20193090000000002</v>
      </c>
      <c r="PP7" s="37"/>
      <c r="PQ7" s="39">
        <v>3.3344</v>
      </c>
      <c r="PR7" s="39">
        <v>-1.5027299999999999</v>
      </c>
      <c r="PS7" s="36"/>
      <c r="PT7" s="39">
        <v>1.8316600000000001</v>
      </c>
      <c r="PU7" s="38">
        <v>-0.45067630000000003</v>
      </c>
      <c r="PV7" s="37"/>
      <c r="PW7" s="37">
        <v>1546</v>
      </c>
      <c r="PX7" s="37">
        <v>-466</v>
      </c>
      <c r="PY7" s="36">
        <v>-35689397.968160003</v>
      </c>
      <c r="PZ7" s="37">
        <v>1080</v>
      </c>
      <c r="QA7" s="38">
        <v>-0.301423</v>
      </c>
      <c r="QB7" s="37">
        <v>80.646439999999998</v>
      </c>
      <c r="QC7" s="37">
        <v>1269</v>
      </c>
      <c r="QD7" s="37">
        <v>-377</v>
      </c>
      <c r="QE7" s="36">
        <v>0</v>
      </c>
      <c r="QF7" s="37">
        <v>892</v>
      </c>
      <c r="QG7" s="38">
        <v>-0.29708430000000002</v>
      </c>
      <c r="QH7" s="37">
        <v>80.398669999999996</v>
      </c>
      <c r="QI7" s="37">
        <v>277</v>
      </c>
      <c r="QJ7" s="37">
        <v>-89</v>
      </c>
      <c r="QK7" s="36">
        <v>-6421212.8389499998</v>
      </c>
      <c r="QL7" s="37">
        <v>188</v>
      </c>
      <c r="QM7" s="38">
        <v>-0.32129959999999996</v>
      </c>
      <c r="QN7" s="37">
        <v>81.412090000000006</v>
      </c>
      <c r="QO7" s="37">
        <v>18685753</v>
      </c>
      <c r="QP7" s="37">
        <v>-1833361</v>
      </c>
      <c r="QQ7" s="36">
        <v>-10274596.996130001</v>
      </c>
      <c r="QR7" s="37">
        <v>16852392</v>
      </c>
      <c r="QS7" s="38">
        <v>-9.8115400000000005E-2</v>
      </c>
      <c r="QT7" s="37">
        <v>100</v>
      </c>
      <c r="QU7" s="37">
        <v>11772767</v>
      </c>
      <c r="QV7" s="37">
        <v>-934378</v>
      </c>
      <c r="QW7" s="36">
        <v>0</v>
      </c>
      <c r="QX7" s="37">
        <v>10838389</v>
      </c>
      <c r="QY7" s="38">
        <v>-7.9367699999999999E-2</v>
      </c>
      <c r="QZ7" s="37">
        <v>100</v>
      </c>
      <c r="RA7" s="37">
        <v>6912986</v>
      </c>
      <c r="RB7" s="37">
        <v>-898983</v>
      </c>
      <c r="RC7" s="36">
        <v>-2308056.2349800002</v>
      </c>
      <c r="RD7" s="37">
        <v>6014003</v>
      </c>
      <c r="RE7" s="38">
        <v>-0.13004260000000001</v>
      </c>
      <c r="RF7" s="37">
        <v>100</v>
      </c>
    </row>
    <row r="8" spans="1:474" x14ac:dyDescent="0.25">
      <c r="A8" s="1" t="s">
        <v>505</v>
      </c>
      <c r="B8" s="1" t="s">
        <v>513</v>
      </c>
      <c r="C8" s="34">
        <v>1.5730000000000001E-2</v>
      </c>
      <c r="D8" s="35">
        <v>6.0859999999999997E-2</v>
      </c>
      <c r="E8" s="36"/>
      <c r="F8" s="34">
        <v>1.6338699999999998E-2</v>
      </c>
      <c r="G8" s="35">
        <v>6.0859999999999997E-2</v>
      </c>
      <c r="H8" s="37">
        <v>113.39227</v>
      </c>
      <c r="I8" s="37">
        <v>344</v>
      </c>
      <c r="J8" s="37">
        <v>-31</v>
      </c>
      <c r="K8" s="36">
        <v>0</v>
      </c>
      <c r="L8" s="37">
        <v>313</v>
      </c>
      <c r="M8" s="38">
        <v>-9.0116299999999996E-2</v>
      </c>
      <c r="N8" s="37">
        <v>94.269199999999998</v>
      </c>
      <c r="O8" s="37">
        <v>285</v>
      </c>
      <c r="P8" s="37">
        <v>-51</v>
      </c>
      <c r="Q8" s="36"/>
      <c r="R8" s="37">
        <v>234</v>
      </c>
      <c r="S8" s="38">
        <v>-0.17894739999999998</v>
      </c>
      <c r="T8" s="37">
        <v>85.065790000000007</v>
      </c>
      <c r="U8" s="37">
        <v>353</v>
      </c>
      <c r="V8" s="37">
        <v>-30</v>
      </c>
      <c r="W8" s="36"/>
      <c r="X8" s="37">
        <v>323</v>
      </c>
      <c r="Y8" s="38">
        <v>-8.49858E-2</v>
      </c>
      <c r="Z8" s="37">
        <v>94.800749999999994</v>
      </c>
      <c r="AA8" s="37">
        <v>6993</v>
      </c>
      <c r="AB8" s="37">
        <v>-1607</v>
      </c>
      <c r="AC8" s="36">
        <v>-16783909.099440001</v>
      </c>
      <c r="AD8" s="37">
        <v>5386</v>
      </c>
      <c r="AE8" s="38">
        <v>-0.22980119999999998</v>
      </c>
      <c r="AF8" s="37">
        <v>87.005340000000004</v>
      </c>
      <c r="AG8" s="37">
        <v>3392279</v>
      </c>
      <c r="AH8" s="37">
        <v>-144181</v>
      </c>
      <c r="AI8" s="36">
        <v>-2791828.48233</v>
      </c>
      <c r="AJ8" s="37">
        <v>3248098</v>
      </c>
      <c r="AK8" s="38">
        <v>-4.2502700000000004E-2</v>
      </c>
      <c r="AL8" s="37">
        <v>100</v>
      </c>
      <c r="AM8" s="36">
        <v>6684284.1126699997</v>
      </c>
      <c r="AN8" s="38">
        <v>9.3163099999999999E-2</v>
      </c>
      <c r="AO8" s="36">
        <v>5495162.8041399997</v>
      </c>
      <c r="AP8" s="38">
        <v>8.9248499999999995E-2</v>
      </c>
      <c r="AQ8" s="36">
        <v>1036494.26959</v>
      </c>
      <c r="AR8" s="38">
        <v>0.1022865</v>
      </c>
      <c r="AS8" s="36">
        <v>0</v>
      </c>
      <c r="AT8" s="36">
        <v>0</v>
      </c>
      <c r="AU8" s="36">
        <v>0</v>
      </c>
      <c r="AV8" s="36">
        <v>0</v>
      </c>
      <c r="AW8" s="36">
        <v>0</v>
      </c>
      <c r="AX8" s="36">
        <v>0</v>
      </c>
      <c r="AY8" s="36">
        <v>24320</v>
      </c>
      <c r="AZ8" s="36">
        <v>-24320</v>
      </c>
      <c r="BA8" s="36">
        <v>-24320</v>
      </c>
      <c r="BB8" s="36">
        <v>7620477.7508699996</v>
      </c>
      <c r="BC8" s="34">
        <v>0.1068866</v>
      </c>
      <c r="BD8" s="36">
        <v>6580629.3103099996</v>
      </c>
      <c r="BE8" s="34">
        <v>0.1077984</v>
      </c>
      <c r="BF8" s="36">
        <v>1096917.85638</v>
      </c>
      <c r="BG8" s="34">
        <v>0.1085623</v>
      </c>
      <c r="BH8" s="34">
        <v>0.88544</v>
      </c>
      <c r="BI8" s="35">
        <v>0.19400000000000001</v>
      </c>
      <c r="BJ8" s="36"/>
      <c r="BK8" s="34">
        <v>0.88739000000000001</v>
      </c>
      <c r="BL8" s="35">
        <v>0.19400000000000001</v>
      </c>
      <c r="BM8" s="37"/>
      <c r="BN8" s="39">
        <v>1.0167299999999999</v>
      </c>
      <c r="BO8" s="39">
        <v>1.4599999999999999E-3</v>
      </c>
      <c r="BP8" s="36">
        <v>92509.843280000001</v>
      </c>
      <c r="BQ8" s="39">
        <v>1.0182</v>
      </c>
      <c r="BR8" s="38">
        <v>1.4402E-3</v>
      </c>
      <c r="BS8" s="37">
        <v>101.39757</v>
      </c>
      <c r="BT8" s="36">
        <v>6482219</v>
      </c>
      <c r="BU8" s="36">
        <v>-877735</v>
      </c>
      <c r="BV8" s="36"/>
      <c r="BW8" s="36">
        <v>5831552</v>
      </c>
      <c r="BX8" s="36">
        <v>-686693</v>
      </c>
      <c r="BY8" s="36"/>
      <c r="BZ8" s="36">
        <v>5144859</v>
      </c>
      <c r="CA8" s="34">
        <v>-0.11775479999999999</v>
      </c>
      <c r="CB8" s="37"/>
      <c r="CC8" s="36">
        <v>650667</v>
      </c>
      <c r="CD8" s="36">
        <v>-191042</v>
      </c>
      <c r="CE8" s="36"/>
      <c r="CF8" s="36">
        <v>459625</v>
      </c>
      <c r="CG8" s="34">
        <v>-0.29360949999999997</v>
      </c>
      <c r="CH8" s="37"/>
      <c r="CI8" s="36">
        <v>5604484</v>
      </c>
      <c r="CJ8" s="34">
        <v>-0.13540660000000002</v>
      </c>
      <c r="CK8" s="37"/>
      <c r="CL8" s="36">
        <v>757.26856999999995</v>
      </c>
      <c r="CM8" s="36">
        <v>138.15944999999999</v>
      </c>
      <c r="CN8" s="36"/>
      <c r="CO8" s="36">
        <v>820.19015000000002</v>
      </c>
      <c r="CP8" s="36">
        <v>117.96794</v>
      </c>
      <c r="CQ8" s="36"/>
      <c r="CR8" s="36">
        <v>938.15809999999999</v>
      </c>
      <c r="CS8" s="38">
        <v>0.14382999999999999</v>
      </c>
      <c r="CT8" s="37"/>
      <c r="CU8" s="36">
        <v>448.73586</v>
      </c>
      <c r="CV8" s="36">
        <v>144.32865000000001</v>
      </c>
      <c r="CW8" s="36"/>
      <c r="CX8" s="36">
        <v>593.06452000000002</v>
      </c>
      <c r="CY8" s="38">
        <v>0.32163389999999997</v>
      </c>
      <c r="CZ8" s="37"/>
      <c r="DA8" s="36">
        <v>895.42801999999995</v>
      </c>
      <c r="DB8" s="38">
        <v>0.18244450000000001</v>
      </c>
      <c r="DC8" s="37"/>
      <c r="DD8" s="36">
        <v>272312.28982000001</v>
      </c>
      <c r="DE8" s="36">
        <v>28936.859499999999</v>
      </c>
      <c r="DF8" s="36"/>
      <c r="DG8" s="36">
        <v>301249.14931000001</v>
      </c>
      <c r="DH8" s="38">
        <v>0.10626350000000001</v>
      </c>
      <c r="DI8" s="37"/>
      <c r="DJ8" s="36">
        <v>192800.18337000001</v>
      </c>
      <c r="DK8" s="36">
        <v>4307.6990400000004</v>
      </c>
      <c r="DL8" s="36"/>
      <c r="DM8" s="36">
        <v>197107.88240999999</v>
      </c>
      <c r="DN8" s="38">
        <v>2.2342799999999999E-2</v>
      </c>
      <c r="DO8" s="37"/>
      <c r="DP8" s="36">
        <v>258843.53346999999</v>
      </c>
      <c r="DQ8" s="36">
        <v>29510.66748</v>
      </c>
      <c r="DR8" s="36"/>
      <c r="DS8" s="36">
        <v>288354.20094000001</v>
      </c>
      <c r="DT8" s="38">
        <v>0.11400969999999999</v>
      </c>
      <c r="DU8" s="37"/>
      <c r="DV8" s="36">
        <v>833.91277000000002</v>
      </c>
      <c r="DW8" s="36">
        <v>121.31541</v>
      </c>
      <c r="DX8" s="36"/>
      <c r="DY8" s="36">
        <v>955.22817999999995</v>
      </c>
      <c r="DZ8" s="34">
        <v>0.1454773</v>
      </c>
      <c r="EA8" s="37"/>
      <c r="EB8" s="36">
        <v>276868.35129000002</v>
      </c>
      <c r="EC8" s="36">
        <v>29862.123060000002</v>
      </c>
      <c r="ED8" s="36"/>
      <c r="EE8" s="36">
        <v>306730.47434999997</v>
      </c>
      <c r="EF8" s="38">
        <v>0.10785679999999999</v>
      </c>
      <c r="EG8" s="37"/>
      <c r="EH8" s="36">
        <v>1936140380.5899999</v>
      </c>
      <c r="EI8" s="36">
        <v>-284090045.75</v>
      </c>
      <c r="EJ8" s="36"/>
      <c r="EK8" s="36">
        <v>1652050334.8399999</v>
      </c>
      <c r="EL8" s="38">
        <v>-0.1467301</v>
      </c>
      <c r="EM8" s="37"/>
      <c r="EN8" s="36">
        <v>279560265.88999999</v>
      </c>
      <c r="EO8" s="36">
        <v>-126801657.02</v>
      </c>
      <c r="EP8" s="36"/>
      <c r="EQ8" s="36">
        <v>152758608.87</v>
      </c>
      <c r="ER8" s="38">
        <v>-0.45357540000000002</v>
      </c>
      <c r="ES8" s="37"/>
      <c r="ET8" s="36">
        <v>2215700646.48</v>
      </c>
      <c r="EU8" s="36">
        <v>-410891702.76999998</v>
      </c>
      <c r="EV8" s="36"/>
      <c r="EW8" s="36">
        <v>1804808943.71</v>
      </c>
      <c r="EX8" s="38">
        <v>-0.18544550000000001</v>
      </c>
      <c r="EY8" s="37"/>
      <c r="EZ8" s="36">
        <v>9534.1119699999999</v>
      </c>
      <c r="FA8" s="36">
        <v>1967.1256800000001</v>
      </c>
      <c r="FB8" s="36">
        <v>12057530.099439999</v>
      </c>
      <c r="FC8" s="36">
        <v>11501.237649999999</v>
      </c>
      <c r="FD8" s="38">
        <v>0.20632500000000001</v>
      </c>
      <c r="FE8" s="37">
        <v>105.15810999999999</v>
      </c>
      <c r="FF8" s="36">
        <v>9559.1168899999993</v>
      </c>
      <c r="FG8" s="36">
        <v>2008.7079900000001</v>
      </c>
      <c r="FH8" s="36">
        <v>11567.82488</v>
      </c>
      <c r="FI8" s="38">
        <v>0.2101353</v>
      </c>
      <c r="FJ8" s="37">
        <v>109.51925</v>
      </c>
      <c r="FK8" s="36">
        <v>9333.9848099999999</v>
      </c>
      <c r="FL8" s="36">
        <v>1911.1971599999999</v>
      </c>
      <c r="FM8" s="36">
        <v>13978418.58219</v>
      </c>
      <c r="FN8" s="36">
        <v>11245.181979999999</v>
      </c>
      <c r="FO8" s="38">
        <v>0.20475680000000002</v>
      </c>
      <c r="FP8" s="37">
        <v>102.34605999999999</v>
      </c>
      <c r="FQ8" s="36">
        <v>9377.2215199999991</v>
      </c>
      <c r="FR8" s="36">
        <v>1918.4870900000001</v>
      </c>
      <c r="FS8" s="36">
        <v>11965020.25616</v>
      </c>
      <c r="FT8" s="36">
        <v>11295.70861</v>
      </c>
      <c r="FU8" s="38">
        <v>0.2045901</v>
      </c>
      <c r="FV8" s="37">
        <v>103.70871</v>
      </c>
      <c r="FW8" s="36">
        <v>9121.9758600000005</v>
      </c>
      <c r="FX8" s="36">
        <v>1765.67317</v>
      </c>
      <c r="FY8" s="36">
        <v>1885076.88154</v>
      </c>
      <c r="FZ8" s="36">
        <v>10887.64903</v>
      </c>
      <c r="GA8" s="38">
        <v>0.1935626</v>
      </c>
      <c r="GB8" s="37">
        <v>95.362399999999994</v>
      </c>
      <c r="GC8" s="37">
        <v>6</v>
      </c>
      <c r="GD8" s="37">
        <v>0</v>
      </c>
      <c r="GE8" s="36"/>
      <c r="GF8" s="37">
        <v>6</v>
      </c>
      <c r="GG8" s="38">
        <v>0</v>
      </c>
      <c r="GH8" s="37"/>
      <c r="GI8" s="37">
        <v>6</v>
      </c>
      <c r="GJ8" s="37">
        <v>0</v>
      </c>
      <c r="GK8" s="36"/>
      <c r="GL8" s="37">
        <v>6</v>
      </c>
      <c r="GM8" s="38">
        <v>0</v>
      </c>
      <c r="GN8" s="37"/>
      <c r="GO8" s="37">
        <v>6</v>
      </c>
      <c r="GP8" s="37">
        <v>0</v>
      </c>
      <c r="GQ8" s="36"/>
      <c r="GR8" s="37">
        <v>6</v>
      </c>
      <c r="GS8" s="38">
        <v>0</v>
      </c>
      <c r="GT8" s="37"/>
      <c r="GU8" s="34">
        <v>1.8317099999999999E-2</v>
      </c>
      <c r="GV8" s="35">
        <v>-0.24926000000000001</v>
      </c>
      <c r="GW8" s="36"/>
      <c r="GX8" s="34">
        <v>1.5824499999999998E-2</v>
      </c>
      <c r="GY8" s="35">
        <v>-0.24926000000000001</v>
      </c>
      <c r="GZ8" s="37"/>
      <c r="HA8" s="34">
        <v>1.79671E-2</v>
      </c>
      <c r="HB8" s="35">
        <v>-0.15284</v>
      </c>
      <c r="HC8" s="36"/>
      <c r="HD8" s="34">
        <v>1.6438600000000001E-2</v>
      </c>
      <c r="HE8" s="35">
        <v>-0.15284</v>
      </c>
      <c r="HF8" s="37"/>
      <c r="HG8" s="34">
        <v>2.0311599999999999E-2</v>
      </c>
      <c r="HH8" s="35">
        <v>-0.78932000000000002</v>
      </c>
      <c r="HI8" s="36"/>
      <c r="HJ8" s="34">
        <v>1.2418400000000001E-2</v>
      </c>
      <c r="HK8" s="35">
        <v>-0.78932000000000002</v>
      </c>
      <c r="HL8" s="37"/>
      <c r="HM8" s="34">
        <v>1.5667500000000001E-2</v>
      </c>
      <c r="HN8" s="35">
        <v>-0.27316000000000001</v>
      </c>
      <c r="HO8" s="36"/>
      <c r="HP8" s="34">
        <v>1.29359E-2</v>
      </c>
      <c r="HQ8" s="35">
        <v>-0.27316000000000001</v>
      </c>
      <c r="HR8" s="37"/>
      <c r="HS8" s="34">
        <v>1.57529E-2</v>
      </c>
      <c r="HT8" s="35">
        <v>-0.21065999999999999</v>
      </c>
      <c r="HU8" s="36"/>
      <c r="HV8" s="34">
        <v>1.36463E-2</v>
      </c>
      <c r="HW8" s="35">
        <v>-0.21065999999999999</v>
      </c>
      <c r="HX8" s="37"/>
      <c r="HY8" s="34">
        <v>1.5260800000000001E-2</v>
      </c>
      <c r="HZ8" s="35">
        <v>-0.58726999999999996</v>
      </c>
      <c r="IA8" s="36"/>
      <c r="IB8" s="34">
        <v>9.3880999999999999E-3</v>
      </c>
      <c r="IC8" s="35">
        <v>-0.58726999999999996</v>
      </c>
      <c r="ID8" s="37"/>
      <c r="IE8" s="34">
        <v>4.5809999999999997E-4</v>
      </c>
      <c r="IF8" s="35">
        <v>-8.6700000000000006E-3</v>
      </c>
      <c r="IG8" s="36">
        <v>-15744371.47339</v>
      </c>
      <c r="IH8" s="34">
        <v>3.7139999999999997E-4</v>
      </c>
      <c r="II8" s="35">
        <v>-8.6700000000000006E-3</v>
      </c>
      <c r="IJ8" s="37">
        <v>84.411779999999993</v>
      </c>
      <c r="IK8" s="34">
        <v>6.0389999999999999E-4</v>
      </c>
      <c r="IL8" s="35">
        <v>-9.7999999999999997E-3</v>
      </c>
      <c r="IM8" s="36">
        <v>0</v>
      </c>
      <c r="IN8" s="34">
        <v>5.0599999999999994E-4</v>
      </c>
      <c r="IO8" s="35">
        <v>-9.7999999999999997E-3</v>
      </c>
      <c r="IP8" s="37">
        <v>88.230320000000006</v>
      </c>
      <c r="IQ8" s="34">
        <v>2.0979999999999998E-4</v>
      </c>
      <c r="IR8" s="35">
        <v>-8.09E-3</v>
      </c>
      <c r="IS8" s="36">
        <v>-5189848.3126999997</v>
      </c>
      <c r="IT8" s="34">
        <v>1.2890000000000002E-4</v>
      </c>
      <c r="IU8" s="35">
        <v>-8.09E-3</v>
      </c>
      <c r="IV8" s="37">
        <v>64.114339999999999</v>
      </c>
      <c r="IW8" s="34">
        <v>2.4655200000000002E-2</v>
      </c>
      <c r="IX8" s="35">
        <v>-0.32039000000000001</v>
      </c>
      <c r="IY8" s="36"/>
      <c r="IZ8" s="34">
        <v>2.14513E-2</v>
      </c>
      <c r="JA8" s="35">
        <v>-0.32039000000000001</v>
      </c>
      <c r="JB8" s="37"/>
      <c r="JC8" s="34">
        <v>4.4202999999999994E-3</v>
      </c>
      <c r="JD8" s="35">
        <v>-6.4000000000000001E-2</v>
      </c>
      <c r="JE8" s="36"/>
      <c r="JF8" s="34">
        <v>3.7802999999999999E-3</v>
      </c>
      <c r="JG8" s="35">
        <v>-6.4000000000000001E-2</v>
      </c>
      <c r="JH8" s="37">
        <v>90.092889999999997</v>
      </c>
      <c r="JI8" s="34">
        <v>2.0613999999999997E-3</v>
      </c>
      <c r="JJ8" s="35">
        <v>-4.0320000000000002E-2</v>
      </c>
      <c r="JK8" s="36">
        <v>-13992080.61712</v>
      </c>
      <c r="JL8" s="34">
        <v>1.6581999999999999E-3</v>
      </c>
      <c r="JM8" s="35">
        <v>-4.0320000000000002E-2</v>
      </c>
      <c r="JN8" s="37">
        <v>87.007199999999997</v>
      </c>
      <c r="JO8" s="36">
        <v>8858.9544299999998</v>
      </c>
      <c r="JP8" s="36">
        <v>1860.4476400000001</v>
      </c>
      <c r="JQ8" s="36">
        <v>14304761.863539999</v>
      </c>
      <c r="JR8" s="36">
        <v>10719.40207</v>
      </c>
      <c r="JS8" s="38">
        <v>0.21000759999999999</v>
      </c>
      <c r="JT8" s="37">
        <v>104.63513</v>
      </c>
      <c r="JU8" s="36">
        <v>8895.5363600000001</v>
      </c>
      <c r="JV8" s="36">
        <v>1838.42067</v>
      </c>
      <c r="JW8" s="36">
        <v>12075792.11445</v>
      </c>
      <c r="JX8" s="36">
        <v>10733.95703</v>
      </c>
      <c r="JY8" s="38">
        <v>0.20666779999999998</v>
      </c>
      <c r="JZ8" s="37">
        <v>105.61707</v>
      </c>
      <c r="KA8" s="36">
        <v>8679.0452800000003</v>
      </c>
      <c r="KB8" s="36">
        <v>1934.70064</v>
      </c>
      <c r="KC8" s="36">
        <v>2143914.9488900001</v>
      </c>
      <c r="KD8" s="36">
        <v>10613.74591</v>
      </c>
      <c r="KE8" s="38">
        <v>0.22291630000000001</v>
      </c>
      <c r="KF8" s="37">
        <v>99.385189999999994</v>
      </c>
      <c r="KG8" s="37">
        <v>4</v>
      </c>
      <c r="KH8" s="37">
        <v>0</v>
      </c>
      <c r="KI8" s="36"/>
      <c r="KJ8" s="37">
        <v>4</v>
      </c>
      <c r="KK8" s="38">
        <v>0</v>
      </c>
      <c r="KL8" s="37">
        <v>100</v>
      </c>
      <c r="KM8" s="37">
        <v>4</v>
      </c>
      <c r="KN8" s="37">
        <v>0</v>
      </c>
      <c r="KO8" s="36"/>
      <c r="KP8" s="37">
        <v>4</v>
      </c>
      <c r="KQ8" s="38">
        <v>0</v>
      </c>
      <c r="KR8" s="37">
        <v>100</v>
      </c>
      <c r="KS8" s="37">
        <v>4</v>
      </c>
      <c r="KT8" s="37">
        <v>0</v>
      </c>
      <c r="KU8" s="36"/>
      <c r="KV8" s="37">
        <v>4</v>
      </c>
      <c r="KW8" s="38">
        <v>0</v>
      </c>
      <c r="KX8" s="37">
        <v>100</v>
      </c>
      <c r="KY8" s="37">
        <v>9019</v>
      </c>
      <c r="KZ8" s="37">
        <v>-2453</v>
      </c>
      <c r="LA8" s="37">
        <v>6566</v>
      </c>
      <c r="LB8" s="38">
        <v>-0.27198139999999998</v>
      </c>
      <c r="LC8" s="37">
        <v>82.564949999999996</v>
      </c>
      <c r="LD8" s="37">
        <v>7495</v>
      </c>
      <c r="LE8" s="37">
        <v>-1724</v>
      </c>
      <c r="LF8" s="37">
        <v>5771</v>
      </c>
      <c r="LG8" s="38">
        <v>-0.23002</v>
      </c>
      <c r="LH8" s="37">
        <v>86.627250000000004</v>
      </c>
      <c r="LI8" s="37">
        <v>1524</v>
      </c>
      <c r="LJ8" s="37">
        <v>-729</v>
      </c>
      <c r="LK8" s="37">
        <v>795</v>
      </c>
      <c r="LL8" s="38">
        <v>-0.47834650000000001</v>
      </c>
      <c r="LM8" s="37">
        <v>61.517690000000002</v>
      </c>
      <c r="LN8" s="39">
        <v>1.07179</v>
      </c>
      <c r="LO8" s="39">
        <v>-2.9999999999999997E-4</v>
      </c>
      <c r="LP8" s="39">
        <v>1.07148</v>
      </c>
      <c r="LQ8" s="38">
        <v>-2.8410000000000002E-4</v>
      </c>
      <c r="LR8" s="37">
        <v>99.565430000000006</v>
      </c>
      <c r="LS8" s="39">
        <v>1.0541499999999999</v>
      </c>
      <c r="LT8" s="39">
        <v>-1.82E-3</v>
      </c>
      <c r="LU8" s="36">
        <v>-110771.85829</v>
      </c>
      <c r="LV8" s="39">
        <v>1.05233</v>
      </c>
      <c r="LW8" s="38">
        <v>-1.7217999999999999E-3</v>
      </c>
      <c r="LX8" s="37">
        <v>98.193129999999996</v>
      </c>
      <c r="LY8" s="39">
        <v>1.05362</v>
      </c>
      <c r="LZ8" s="39">
        <v>-4.5700000000000003E-3</v>
      </c>
      <c r="MA8" s="36">
        <v>-326343.28135</v>
      </c>
      <c r="MB8" s="39">
        <v>1.04905</v>
      </c>
      <c r="MC8" s="38">
        <v>-4.3394000000000002E-3</v>
      </c>
      <c r="MD8" s="37">
        <v>97.812340000000006</v>
      </c>
      <c r="ME8" s="39">
        <v>1.0510299999999999</v>
      </c>
      <c r="MF8" s="39">
        <v>-2.5229999999999999E-2</v>
      </c>
      <c r="MG8" s="36">
        <v>-258838.06734000001</v>
      </c>
      <c r="MH8" s="39">
        <v>1.0258100000000001</v>
      </c>
      <c r="MI8" s="38">
        <v>-2.4003E-2</v>
      </c>
      <c r="MJ8" s="37">
        <v>95.95232</v>
      </c>
      <c r="MK8" s="36">
        <v>0</v>
      </c>
      <c r="ML8" s="36">
        <v>0</v>
      </c>
      <c r="MM8" s="36">
        <v>0</v>
      </c>
      <c r="MN8" s="36">
        <v>0</v>
      </c>
      <c r="MO8" s="36">
        <v>0</v>
      </c>
      <c r="MP8" s="36">
        <v>0</v>
      </c>
      <c r="MQ8" s="36">
        <v>0</v>
      </c>
      <c r="MR8" s="36">
        <v>0</v>
      </c>
      <c r="MS8" s="36">
        <v>0</v>
      </c>
      <c r="MT8" s="37">
        <v>9019</v>
      </c>
      <c r="MU8" s="37">
        <v>-2453</v>
      </c>
      <c r="MV8" s="36">
        <v>-23820077.863540001</v>
      </c>
      <c r="MW8" s="37">
        <v>6566</v>
      </c>
      <c r="MX8" s="38">
        <v>-0.27198139999999998</v>
      </c>
      <c r="MY8" s="37">
        <v>7495</v>
      </c>
      <c r="MZ8" s="37">
        <v>-1724</v>
      </c>
      <c r="NA8" s="36">
        <v>-16802171.11445</v>
      </c>
      <c r="NB8" s="37">
        <v>5771</v>
      </c>
      <c r="NC8" s="38">
        <v>-0.23002</v>
      </c>
      <c r="ND8" s="37">
        <v>1520</v>
      </c>
      <c r="NE8" s="37">
        <v>-725</v>
      </c>
      <c r="NF8" s="36">
        <v>-6898029.1259700004</v>
      </c>
      <c r="NG8" s="37">
        <v>795</v>
      </c>
      <c r="NH8" s="38">
        <v>-0.4769737</v>
      </c>
      <c r="NI8" s="36">
        <v>79898910</v>
      </c>
      <c r="NJ8" s="36">
        <v>-9515316</v>
      </c>
      <c r="NK8" s="36">
        <v>-9515316</v>
      </c>
      <c r="NL8" s="36">
        <v>70383594</v>
      </c>
      <c r="NM8" s="38">
        <v>-0.1190919</v>
      </c>
      <c r="NN8" s="37">
        <v>86.391949999999994</v>
      </c>
      <c r="NO8" s="36">
        <v>66672045</v>
      </c>
      <c r="NP8" s="36">
        <v>-4726379</v>
      </c>
      <c r="NQ8" s="36">
        <v>-4726379</v>
      </c>
      <c r="NR8" s="36">
        <v>61945666</v>
      </c>
      <c r="NS8" s="38">
        <v>-7.0890000000000009E-2</v>
      </c>
      <c r="NT8" s="37">
        <v>91.493170000000006</v>
      </c>
      <c r="NU8" s="36">
        <v>13226865</v>
      </c>
      <c r="NV8" s="36">
        <v>-4788937</v>
      </c>
      <c r="NW8" s="36">
        <v>-4788937</v>
      </c>
      <c r="NX8" s="36">
        <v>8437928</v>
      </c>
      <c r="NY8" s="38">
        <v>-0.36206139999999998</v>
      </c>
      <c r="NZ8" s="37">
        <v>61.139470000000003</v>
      </c>
      <c r="OA8" s="36">
        <v>226342.52124999999</v>
      </c>
      <c r="OB8" s="36">
        <v>-8436.6574700000001</v>
      </c>
      <c r="OC8" s="36"/>
      <c r="OD8" s="36">
        <v>217905.86378000001</v>
      </c>
      <c r="OE8" s="38">
        <v>-3.7273899999999999E-2</v>
      </c>
      <c r="OF8" s="37">
        <v>91.130030000000005</v>
      </c>
      <c r="OG8" s="36">
        <v>193814.08429999999</v>
      </c>
      <c r="OH8" s="36">
        <v>4095.39174</v>
      </c>
      <c r="OI8" s="36"/>
      <c r="OJ8" s="36">
        <v>197909.47604000001</v>
      </c>
      <c r="OK8" s="38">
        <v>2.11305E-2</v>
      </c>
      <c r="OL8" s="37">
        <v>97.055210000000002</v>
      </c>
      <c r="OM8" s="36">
        <v>46410.052629999998</v>
      </c>
      <c r="ON8" s="36">
        <v>-10350.53126</v>
      </c>
      <c r="OO8" s="36"/>
      <c r="OP8" s="36">
        <v>36059.521370000002</v>
      </c>
      <c r="OQ8" s="38">
        <v>-0.22302350000000001</v>
      </c>
      <c r="OR8" s="37">
        <v>71.873159999999999</v>
      </c>
      <c r="OS8" s="39">
        <v>25.549579999999999</v>
      </c>
      <c r="OT8" s="39">
        <v>-5.2214</v>
      </c>
      <c r="OU8" s="36"/>
      <c r="OV8" s="39">
        <v>20.32817</v>
      </c>
      <c r="OW8" s="38">
        <v>-0.2043635</v>
      </c>
      <c r="OX8" s="37">
        <v>87.093149999999994</v>
      </c>
      <c r="OY8" s="39">
        <v>21.787790000000001</v>
      </c>
      <c r="OZ8" s="39">
        <v>-3.3500899999999998</v>
      </c>
      <c r="PA8" s="36"/>
      <c r="PB8" s="39">
        <v>18.4377</v>
      </c>
      <c r="PC8" s="38">
        <v>-0.15376000000000001</v>
      </c>
      <c r="PD8" s="37">
        <v>91.893479999999997</v>
      </c>
      <c r="PE8" s="39">
        <v>5.3473699999999997</v>
      </c>
      <c r="PF8" s="39">
        <v>-1.9499299999999999</v>
      </c>
      <c r="PG8" s="36"/>
      <c r="PH8" s="39">
        <v>3.39744</v>
      </c>
      <c r="PI8" s="38">
        <v>-0.36465269999999994</v>
      </c>
      <c r="PJ8" s="37">
        <v>72.317779999999999</v>
      </c>
      <c r="PK8" s="36">
        <v>50808.778689999999</v>
      </c>
      <c r="PL8" s="36">
        <v>-4775.5293199999996</v>
      </c>
      <c r="PM8" s="36"/>
      <c r="PN8" s="36">
        <v>46033.249360000002</v>
      </c>
      <c r="PO8" s="38">
        <v>-9.3990199999999996E-2</v>
      </c>
      <c r="PP8" s="37"/>
      <c r="PQ8" s="39">
        <v>5.7352999999999996</v>
      </c>
      <c r="PR8" s="39">
        <v>-1.44092</v>
      </c>
      <c r="PS8" s="36"/>
      <c r="PT8" s="39">
        <v>4.2943899999999999</v>
      </c>
      <c r="PU8" s="38">
        <v>-0.25123629999999997</v>
      </c>
      <c r="PV8" s="37"/>
      <c r="PW8" s="37">
        <v>8560</v>
      </c>
      <c r="PX8" s="37">
        <v>-2301</v>
      </c>
      <c r="PY8" s="36">
        <v>-23493734.58219</v>
      </c>
      <c r="PZ8" s="37">
        <v>6259</v>
      </c>
      <c r="QA8" s="38">
        <v>-0.2688084</v>
      </c>
      <c r="QB8" s="37">
        <v>84.411600000000007</v>
      </c>
      <c r="QC8" s="37">
        <v>7110</v>
      </c>
      <c r="QD8" s="37">
        <v>-1626</v>
      </c>
      <c r="QE8" s="36">
        <v>0</v>
      </c>
      <c r="QF8" s="37">
        <v>5484</v>
      </c>
      <c r="QG8" s="38">
        <v>-0.22869200000000001</v>
      </c>
      <c r="QH8" s="37">
        <v>88.221299999999999</v>
      </c>
      <c r="QI8" s="37">
        <v>1450</v>
      </c>
      <c r="QJ8" s="37">
        <v>-675</v>
      </c>
      <c r="QK8" s="36">
        <v>-6674013.8815400004</v>
      </c>
      <c r="QL8" s="37">
        <v>775</v>
      </c>
      <c r="QM8" s="38">
        <v>-0.46551720000000002</v>
      </c>
      <c r="QN8" s="37">
        <v>64.112769999999998</v>
      </c>
      <c r="QO8" s="37">
        <v>18685753</v>
      </c>
      <c r="QP8" s="37">
        <v>-1833361</v>
      </c>
      <c r="QQ8" s="36">
        <v>-7749363.10879</v>
      </c>
      <c r="QR8" s="37">
        <v>16852392</v>
      </c>
      <c r="QS8" s="38">
        <v>-9.8115400000000005E-2</v>
      </c>
      <c r="QT8" s="37">
        <v>100</v>
      </c>
      <c r="QU8" s="37">
        <v>11772767</v>
      </c>
      <c r="QV8" s="37">
        <v>-934378</v>
      </c>
      <c r="QW8" s="36">
        <v>0</v>
      </c>
      <c r="QX8" s="37">
        <v>10838389</v>
      </c>
      <c r="QY8" s="38">
        <v>-7.9367699999999999E-2</v>
      </c>
      <c r="QZ8" s="37">
        <v>100</v>
      </c>
      <c r="RA8" s="37">
        <v>6912986</v>
      </c>
      <c r="RB8" s="37">
        <v>-898983</v>
      </c>
      <c r="RC8" s="36">
        <v>-1484165.5688499999</v>
      </c>
      <c r="RD8" s="37">
        <v>6014003</v>
      </c>
      <c r="RE8" s="38">
        <v>-0.13004260000000001</v>
      </c>
      <c r="RF8" s="37">
        <v>100</v>
      </c>
    </row>
    <row r="9" spans="1:474" x14ac:dyDescent="0.25">
      <c r="A9" s="1" t="s">
        <v>505</v>
      </c>
      <c r="B9" s="1" t="s">
        <v>515</v>
      </c>
      <c r="C9" s="34">
        <v>4.6599700000000001E-2</v>
      </c>
      <c r="D9" s="35">
        <v>-0.93903999999999999</v>
      </c>
      <c r="E9" s="36"/>
      <c r="F9" s="34">
        <v>3.7209300000000001E-2</v>
      </c>
      <c r="G9" s="35">
        <v>-0.93903999999999999</v>
      </c>
      <c r="H9" s="37">
        <v>87.169200000000004</v>
      </c>
      <c r="I9" s="37">
        <v>343</v>
      </c>
      <c r="J9" s="37">
        <v>-130</v>
      </c>
      <c r="K9" s="36">
        <v>0</v>
      </c>
      <c r="L9" s="37">
        <v>213</v>
      </c>
      <c r="M9" s="38">
        <v>-0.37900869999999998</v>
      </c>
      <c r="N9" s="37">
        <v>64.338279999999997</v>
      </c>
      <c r="O9" s="37">
        <v>293</v>
      </c>
      <c r="P9" s="37">
        <v>-119</v>
      </c>
      <c r="Q9" s="36"/>
      <c r="R9" s="37">
        <v>174</v>
      </c>
      <c r="S9" s="38">
        <v>-0.40614330000000004</v>
      </c>
      <c r="T9" s="37">
        <v>61.526980000000002</v>
      </c>
      <c r="U9" s="37">
        <v>349</v>
      </c>
      <c r="V9" s="37">
        <v>-126</v>
      </c>
      <c r="W9" s="36"/>
      <c r="X9" s="37">
        <v>223</v>
      </c>
      <c r="Y9" s="38">
        <v>-0.36103150000000001</v>
      </c>
      <c r="Z9" s="37">
        <v>66.200819999999993</v>
      </c>
      <c r="AA9" s="37">
        <v>5279</v>
      </c>
      <c r="AB9" s="37">
        <v>-1409</v>
      </c>
      <c r="AC9" s="36">
        <v>-18150213.13758</v>
      </c>
      <c r="AD9" s="37">
        <v>3870</v>
      </c>
      <c r="AE9" s="38">
        <v>-0.26690659999999999</v>
      </c>
      <c r="AF9" s="37">
        <v>82.813739999999996</v>
      </c>
      <c r="AG9" s="37">
        <v>3392279</v>
      </c>
      <c r="AH9" s="37">
        <v>-144181</v>
      </c>
      <c r="AI9" s="36">
        <v>-2538976.0651400001</v>
      </c>
      <c r="AJ9" s="37">
        <v>3248098</v>
      </c>
      <c r="AK9" s="38">
        <v>-4.2502700000000004E-2</v>
      </c>
      <c r="AL9" s="37">
        <v>100</v>
      </c>
      <c r="AM9" s="36">
        <v>14165117.40866</v>
      </c>
      <c r="AN9" s="38">
        <v>0.23380819999999999</v>
      </c>
      <c r="AO9" s="36">
        <v>11080369.569569999</v>
      </c>
      <c r="AP9" s="38">
        <v>0.2182598</v>
      </c>
      <c r="AQ9" s="36">
        <v>2632241.6008700002</v>
      </c>
      <c r="AR9" s="38">
        <v>0.26588780000000001</v>
      </c>
      <c r="AS9" s="36">
        <v>8335804</v>
      </c>
      <c r="AT9" s="36">
        <v>-8335804</v>
      </c>
      <c r="AU9" s="36">
        <v>-8335804</v>
      </c>
      <c r="AV9" s="36">
        <v>4842150</v>
      </c>
      <c r="AW9" s="36">
        <v>-4842150</v>
      </c>
      <c r="AX9" s="36">
        <v>-4842150</v>
      </c>
      <c r="AY9" s="36">
        <v>3526354</v>
      </c>
      <c r="AZ9" s="36">
        <v>-3526354</v>
      </c>
      <c r="BA9" s="36">
        <v>-3526354</v>
      </c>
      <c r="BB9" s="36">
        <v>-6423200.0405200003</v>
      </c>
      <c r="BC9" s="34">
        <v>-9.0874999999999997E-2</v>
      </c>
      <c r="BD9" s="36">
        <v>-5453385.3427799996</v>
      </c>
      <c r="BE9" s="34">
        <v>-9.2593899999999993E-2</v>
      </c>
      <c r="BF9" s="36">
        <v>-922515.02092000004</v>
      </c>
      <c r="BG9" s="34">
        <v>-7.930920000000001E-2</v>
      </c>
      <c r="BH9" s="34">
        <v>0.90334000000000003</v>
      </c>
      <c r="BI9" s="35">
        <v>-12.942</v>
      </c>
      <c r="BJ9" s="36"/>
      <c r="BK9" s="34">
        <v>0.77391999999999994</v>
      </c>
      <c r="BL9" s="35">
        <v>-12.942</v>
      </c>
      <c r="BM9" s="37"/>
      <c r="BN9" s="39">
        <v>1.0558799999999999</v>
      </c>
      <c r="BO9" s="39">
        <v>-1.1180000000000001E-2</v>
      </c>
      <c r="BP9" s="36">
        <v>-622214.47328999999</v>
      </c>
      <c r="BQ9" s="39">
        <v>1.0447</v>
      </c>
      <c r="BR9" s="38">
        <v>-1.0587299999999999E-2</v>
      </c>
      <c r="BS9" s="37">
        <v>100.17976</v>
      </c>
      <c r="BT9" s="36">
        <v>6314444</v>
      </c>
      <c r="BU9" s="36">
        <v>-1078563</v>
      </c>
      <c r="BV9" s="36"/>
      <c r="BW9" s="36">
        <v>4977704</v>
      </c>
      <c r="BX9" s="36">
        <v>-587226</v>
      </c>
      <c r="BY9" s="36"/>
      <c r="BZ9" s="36">
        <v>4390478</v>
      </c>
      <c r="CA9" s="34">
        <v>-0.11797129999999999</v>
      </c>
      <c r="CB9" s="37"/>
      <c r="CC9" s="36">
        <v>1336740</v>
      </c>
      <c r="CD9" s="36">
        <v>-491337</v>
      </c>
      <c r="CE9" s="36"/>
      <c r="CF9" s="36">
        <v>845403</v>
      </c>
      <c r="CG9" s="34">
        <v>-0.36756359999999999</v>
      </c>
      <c r="CH9" s="37"/>
      <c r="CI9" s="36">
        <v>5235881</v>
      </c>
      <c r="CJ9" s="34">
        <v>-0.17080890000000001</v>
      </c>
      <c r="CK9" s="37"/>
      <c r="CL9" s="36">
        <v>873.24630000000002</v>
      </c>
      <c r="CM9" s="36">
        <v>224.88310000000001</v>
      </c>
      <c r="CN9" s="36"/>
      <c r="CO9" s="36">
        <v>893.02188999999998</v>
      </c>
      <c r="CP9" s="36">
        <v>192.9237</v>
      </c>
      <c r="CQ9" s="36"/>
      <c r="CR9" s="36">
        <v>1085.9455800000001</v>
      </c>
      <c r="CS9" s="38">
        <v>0.21603470000000002</v>
      </c>
      <c r="CT9" s="37"/>
      <c r="CU9" s="36">
        <v>806.72298999999998</v>
      </c>
      <c r="CV9" s="36">
        <v>359.35010999999997</v>
      </c>
      <c r="CW9" s="36"/>
      <c r="CX9" s="36">
        <v>1166.0731000000001</v>
      </c>
      <c r="CY9" s="38">
        <v>0.44544420000000001</v>
      </c>
      <c r="CZ9" s="37"/>
      <c r="DA9" s="36">
        <v>1098.1294</v>
      </c>
      <c r="DB9" s="38">
        <v>0.25752540000000002</v>
      </c>
      <c r="DC9" s="37"/>
      <c r="DD9" s="36">
        <v>218820.77744999999</v>
      </c>
      <c r="DE9" s="36">
        <v>74538.678</v>
      </c>
      <c r="DF9" s="36"/>
      <c r="DG9" s="36">
        <v>293359.45546000003</v>
      </c>
      <c r="DH9" s="38">
        <v>0.340638</v>
      </c>
      <c r="DI9" s="37"/>
      <c r="DJ9" s="36">
        <v>130855.62764999999</v>
      </c>
      <c r="DK9" s="36">
        <v>44922.717140000001</v>
      </c>
      <c r="DL9" s="36"/>
      <c r="DM9" s="36">
        <v>175778.34479</v>
      </c>
      <c r="DN9" s="38">
        <v>0.34329979999999999</v>
      </c>
      <c r="DO9" s="37"/>
      <c r="DP9" s="36">
        <v>198663.36447999999</v>
      </c>
      <c r="DQ9" s="36">
        <v>76817.251789999995</v>
      </c>
      <c r="DR9" s="36"/>
      <c r="DS9" s="36">
        <v>275480.61627</v>
      </c>
      <c r="DT9" s="38">
        <v>0.38667040000000003</v>
      </c>
      <c r="DU9" s="37"/>
      <c r="DV9" s="36">
        <v>942.92555000000004</v>
      </c>
      <c r="DW9" s="36">
        <v>191.56488999999999</v>
      </c>
      <c r="DX9" s="36"/>
      <c r="DY9" s="36">
        <v>1134.49044</v>
      </c>
      <c r="DZ9" s="34">
        <v>0.20316009999999998</v>
      </c>
      <c r="EA9" s="37"/>
      <c r="EB9" s="36">
        <v>231048.87546000001</v>
      </c>
      <c r="EC9" s="36">
        <v>75424.5815</v>
      </c>
      <c r="ED9" s="36"/>
      <c r="EE9" s="36">
        <v>306473.45695000002</v>
      </c>
      <c r="EF9" s="38">
        <v>0.32644430000000002</v>
      </c>
      <c r="EG9" s="37"/>
      <c r="EH9" s="36">
        <v>1219707013.53</v>
      </c>
      <c r="EI9" s="36">
        <v>-33654735.119999997</v>
      </c>
      <c r="EJ9" s="36"/>
      <c r="EK9" s="36">
        <v>1186052278.4100001</v>
      </c>
      <c r="EL9" s="38">
        <v>-2.7592500000000002E-2</v>
      </c>
      <c r="EM9" s="37"/>
      <c r="EN9" s="36">
        <v>216827775.00999999</v>
      </c>
      <c r="EO9" s="36">
        <v>-89388475.040000007</v>
      </c>
      <c r="EP9" s="36"/>
      <c r="EQ9" s="36">
        <v>127439299.97</v>
      </c>
      <c r="ER9" s="38">
        <v>-0.4122556</v>
      </c>
      <c r="ES9" s="37"/>
      <c r="ET9" s="36">
        <v>1436534788.54</v>
      </c>
      <c r="EU9" s="36">
        <v>-123043210.16</v>
      </c>
      <c r="EV9" s="36"/>
      <c r="EW9" s="36">
        <v>1313491578.3800001</v>
      </c>
      <c r="EX9" s="38">
        <v>-8.5652800000000001E-2</v>
      </c>
      <c r="EY9" s="37"/>
      <c r="EZ9" s="36">
        <v>12220.83217</v>
      </c>
      <c r="FA9" s="36">
        <v>1420.9944499999999</v>
      </c>
      <c r="FB9" s="36">
        <v>6430309.1175800003</v>
      </c>
      <c r="FC9" s="36">
        <v>13641.82661</v>
      </c>
      <c r="FD9" s="38">
        <v>0.1162764</v>
      </c>
      <c r="FE9" s="37">
        <v>97.308359999999993</v>
      </c>
      <c r="FF9" s="36">
        <v>13314.43276</v>
      </c>
      <c r="FG9" s="36">
        <v>663.57862999999998</v>
      </c>
      <c r="FH9" s="36">
        <v>13978.01139</v>
      </c>
      <c r="FI9" s="38">
        <v>4.9839000000000001E-2</v>
      </c>
      <c r="FJ9" s="37">
        <v>95.012169999999998</v>
      </c>
      <c r="FK9" s="36">
        <v>11376.74416</v>
      </c>
      <c r="FL9" s="36">
        <v>1495.5165400000001</v>
      </c>
      <c r="FM9" s="36">
        <v>8807129.1208200008</v>
      </c>
      <c r="FN9" s="36">
        <v>12872.260689999999</v>
      </c>
      <c r="FO9" s="38">
        <v>0.13145379999999998</v>
      </c>
      <c r="FP9" s="37">
        <v>96.118849999999995</v>
      </c>
      <c r="FQ9" s="36">
        <v>11574.05328</v>
      </c>
      <c r="FR9" s="36">
        <v>1484.0394699999999</v>
      </c>
      <c r="FS9" s="36">
        <v>7052523.5908700004</v>
      </c>
      <c r="FT9" s="36">
        <v>13058.09275</v>
      </c>
      <c r="FU9" s="38">
        <v>0.12822120000000001</v>
      </c>
      <c r="FV9" s="37">
        <v>97.133759999999995</v>
      </c>
      <c r="FW9" s="36">
        <v>10713.01388</v>
      </c>
      <c r="FX9" s="36">
        <v>1122.9447399999999</v>
      </c>
      <c r="FY9" s="36">
        <v>1257560.1323200001</v>
      </c>
      <c r="FZ9" s="36">
        <v>11835.958619999999</v>
      </c>
      <c r="GA9" s="38">
        <v>0.1048206</v>
      </c>
      <c r="GB9" s="37">
        <v>88.27216</v>
      </c>
      <c r="GC9" s="37">
        <v>38</v>
      </c>
      <c r="GD9" s="37">
        <v>-19</v>
      </c>
      <c r="GE9" s="36"/>
      <c r="GF9" s="37">
        <v>19</v>
      </c>
      <c r="GG9" s="38">
        <v>-0.5</v>
      </c>
      <c r="GH9" s="37"/>
      <c r="GI9" s="37">
        <v>38</v>
      </c>
      <c r="GJ9" s="37">
        <v>-19</v>
      </c>
      <c r="GK9" s="36"/>
      <c r="GL9" s="37">
        <v>19</v>
      </c>
      <c r="GM9" s="38">
        <v>-0.5</v>
      </c>
      <c r="GN9" s="37"/>
      <c r="GO9" s="37">
        <v>38</v>
      </c>
      <c r="GP9" s="37">
        <v>-19</v>
      </c>
      <c r="GQ9" s="36"/>
      <c r="GR9" s="37">
        <v>19</v>
      </c>
      <c r="GS9" s="38">
        <v>-0.5</v>
      </c>
      <c r="GT9" s="37"/>
      <c r="GU9" s="34">
        <v>1.8859600000000001E-2</v>
      </c>
      <c r="GV9" s="35">
        <v>-0.50605</v>
      </c>
      <c r="GW9" s="36"/>
      <c r="GX9" s="34">
        <v>1.3798999999999999E-2</v>
      </c>
      <c r="GY9" s="35">
        <v>-0.50605</v>
      </c>
      <c r="GZ9" s="37"/>
      <c r="HA9" s="34">
        <v>1.7385399999999999E-2</v>
      </c>
      <c r="HB9" s="35">
        <v>-0.33754000000000001</v>
      </c>
      <c r="HC9" s="36"/>
      <c r="HD9" s="34">
        <v>1.401E-2</v>
      </c>
      <c r="HE9" s="35">
        <v>-0.33754000000000001</v>
      </c>
      <c r="HF9" s="37"/>
      <c r="HG9" s="34">
        <v>2.7259699999999998E-2</v>
      </c>
      <c r="HH9" s="35">
        <v>-1.46306</v>
      </c>
      <c r="HI9" s="36"/>
      <c r="HJ9" s="34">
        <v>1.2629E-2</v>
      </c>
      <c r="HK9" s="35">
        <v>-1.46306</v>
      </c>
      <c r="HL9" s="37"/>
      <c r="HM9" s="34">
        <v>1.49397E-2</v>
      </c>
      <c r="HN9" s="35">
        <v>-0.36902000000000001</v>
      </c>
      <c r="HO9" s="36"/>
      <c r="HP9" s="34">
        <v>1.1249499999999999E-2</v>
      </c>
      <c r="HQ9" s="35">
        <v>-0.36902000000000001</v>
      </c>
      <c r="HR9" s="37"/>
      <c r="HS9" s="34">
        <v>1.39496E-2</v>
      </c>
      <c r="HT9" s="35">
        <v>-0.24573999999999999</v>
      </c>
      <c r="HU9" s="36"/>
      <c r="HV9" s="34">
        <v>1.14921E-2</v>
      </c>
      <c r="HW9" s="35">
        <v>-0.24573999999999999</v>
      </c>
      <c r="HX9" s="37"/>
      <c r="HY9" s="34">
        <v>1.9656699999999999E-2</v>
      </c>
      <c r="HZ9" s="35">
        <v>-0.96192</v>
      </c>
      <c r="IA9" s="36"/>
      <c r="IB9" s="34">
        <v>1.0037600000000001E-2</v>
      </c>
      <c r="IC9" s="35">
        <v>-0.96192</v>
      </c>
      <c r="ID9" s="37"/>
      <c r="IE9" s="34">
        <v>3.8699999999999997E-4</v>
      </c>
      <c r="IF9" s="35">
        <v>-1.0410000000000001E-2</v>
      </c>
      <c r="IG9" s="36">
        <v>-22333245.698989999</v>
      </c>
      <c r="IH9" s="34">
        <v>2.8289999999999999E-4</v>
      </c>
      <c r="II9" s="35">
        <v>-1.0410000000000001E-2</v>
      </c>
      <c r="IJ9" s="37">
        <v>76.110299999999995</v>
      </c>
      <c r="IK9" s="34">
        <v>4.7350000000000002E-4</v>
      </c>
      <c r="IL9" s="35">
        <v>-1.004E-2</v>
      </c>
      <c r="IM9" s="36">
        <v>0</v>
      </c>
      <c r="IN9" s="34">
        <v>3.7300000000000001E-4</v>
      </c>
      <c r="IO9" s="35">
        <v>-1.004E-2</v>
      </c>
      <c r="IP9" s="37">
        <v>82.950919999999996</v>
      </c>
      <c r="IQ9" s="34">
        <v>2.3970000000000003E-4</v>
      </c>
      <c r="IR9" s="35">
        <v>-1.191E-2</v>
      </c>
      <c r="IS9" s="36">
        <v>-8670461.9201699998</v>
      </c>
      <c r="IT9" s="34">
        <v>1.2059999999999999E-4</v>
      </c>
      <c r="IU9" s="35">
        <v>-1.191E-2</v>
      </c>
      <c r="IV9" s="37">
        <v>52.503349999999998</v>
      </c>
      <c r="IW9" s="34">
        <v>1.8612099999999999E-2</v>
      </c>
      <c r="IX9" s="35">
        <v>-0.31986999999999999</v>
      </c>
      <c r="IY9" s="36"/>
      <c r="IZ9" s="34">
        <v>1.5413399999999999E-2</v>
      </c>
      <c r="JA9" s="35">
        <v>-0.31986999999999999</v>
      </c>
      <c r="JB9" s="37"/>
      <c r="JC9" s="34">
        <v>3.2382000000000001E-3</v>
      </c>
      <c r="JD9" s="35">
        <v>-4.6620000000000002E-2</v>
      </c>
      <c r="JE9" s="36"/>
      <c r="JF9" s="34">
        <v>2.7721E-3</v>
      </c>
      <c r="JG9" s="35">
        <v>-4.6620000000000002E-2</v>
      </c>
      <c r="JH9" s="37">
        <v>90.182280000000006</v>
      </c>
      <c r="JI9" s="34">
        <v>1.5562E-3</v>
      </c>
      <c r="JJ9" s="35">
        <v>-3.6470000000000002E-2</v>
      </c>
      <c r="JK9" s="36">
        <v>-15611237.07244</v>
      </c>
      <c r="JL9" s="34">
        <v>1.1915000000000001E-3</v>
      </c>
      <c r="JM9" s="35">
        <v>-3.6470000000000002E-2</v>
      </c>
      <c r="JN9" s="37">
        <v>82.815029999999993</v>
      </c>
      <c r="JO9" s="36">
        <v>9565.72523</v>
      </c>
      <c r="JP9" s="36">
        <v>1182.9505999999999</v>
      </c>
      <c r="JQ9" s="36">
        <v>8314568.7817700002</v>
      </c>
      <c r="JR9" s="36">
        <v>10748.67583</v>
      </c>
      <c r="JS9" s="38">
        <v>0.1236655</v>
      </c>
      <c r="JT9" s="37">
        <v>97.168719999999993</v>
      </c>
      <c r="JU9" s="36">
        <v>9720.3213799999994</v>
      </c>
      <c r="JV9" s="36">
        <v>1142.6146200000001</v>
      </c>
      <c r="JW9" s="36">
        <v>6496918.5206800001</v>
      </c>
      <c r="JX9" s="36">
        <v>10862.936009999999</v>
      </c>
      <c r="JY9" s="38">
        <v>0.1175491</v>
      </c>
      <c r="JZ9" s="37">
        <v>97.816699999999997</v>
      </c>
      <c r="KA9" s="36">
        <v>9043.0280199999997</v>
      </c>
      <c r="KB9" s="36">
        <v>1052.34845</v>
      </c>
      <c r="KC9" s="36">
        <v>1388768.39949</v>
      </c>
      <c r="KD9" s="36">
        <v>10095.376469999999</v>
      </c>
      <c r="KE9" s="38">
        <v>0.11637119999999999</v>
      </c>
      <c r="KF9" s="37">
        <v>90.726380000000006</v>
      </c>
      <c r="KG9" s="37">
        <v>4</v>
      </c>
      <c r="KH9" s="37">
        <v>0</v>
      </c>
      <c r="KI9" s="36"/>
      <c r="KJ9" s="37">
        <v>4</v>
      </c>
      <c r="KK9" s="38">
        <v>0</v>
      </c>
      <c r="KL9" s="37">
        <v>100</v>
      </c>
      <c r="KM9" s="37">
        <v>4</v>
      </c>
      <c r="KN9" s="37">
        <v>0</v>
      </c>
      <c r="KO9" s="36"/>
      <c r="KP9" s="37">
        <v>4</v>
      </c>
      <c r="KQ9" s="38">
        <v>0</v>
      </c>
      <c r="KR9" s="37">
        <v>100</v>
      </c>
      <c r="KS9" s="37">
        <v>4</v>
      </c>
      <c r="KT9" s="37">
        <v>0</v>
      </c>
      <c r="KU9" s="36"/>
      <c r="KV9" s="37">
        <v>4</v>
      </c>
      <c r="KW9" s="38">
        <v>0</v>
      </c>
      <c r="KX9" s="37">
        <v>100</v>
      </c>
      <c r="KY9" s="37">
        <v>8600</v>
      </c>
      <c r="KZ9" s="37">
        <v>-2890</v>
      </c>
      <c r="LA9" s="37">
        <v>5710</v>
      </c>
      <c r="LB9" s="38">
        <v>-0.33604649999999997</v>
      </c>
      <c r="LC9" s="37">
        <v>75.299300000000002</v>
      </c>
      <c r="LD9" s="37">
        <v>6637</v>
      </c>
      <c r="LE9" s="37">
        <v>-1777</v>
      </c>
      <c r="LF9" s="37">
        <v>4860</v>
      </c>
      <c r="LG9" s="38">
        <v>-0.26774140000000002</v>
      </c>
      <c r="LH9" s="37">
        <v>82.383369999999999</v>
      </c>
      <c r="LI9" s="37">
        <v>1963</v>
      </c>
      <c r="LJ9" s="37">
        <v>-1113</v>
      </c>
      <c r="LK9" s="37">
        <v>850</v>
      </c>
      <c r="LL9" s="38">
        <v>-0.56698929999999992</v>
      </c>
      <c r="LM9" s="37">
        <v>51.064190000000004</v>
      </c>
      <c r="LN9" s="39">
        <v>1.25725</v>
      </c>
      <c r="LO9" s="39">
        <v>-1.4300000000000001E-3</v>
      </c>
      <c r="LP9" s="39">
        <v>1.2558100000000001</v>
      </c>
      <c r="LQ9" s="38">
        <v>-1.1387999999999999E-3</v>
      </c>
      <c r="LR9" s="37">
        <v>99.480310000000003</v>
      </c>
      <c r="LS9" s="39">
        <v>1.1907099999999999</v>
      </c>
      <c r="LT9" s="39">
        <v>1.137E-2</v>
      </c>
      <c r="LU9" s="36">
        <v>555605.07019</v>
      </c>
      <c r="LV9" s="39">
        <v>1.20208</v>
      </c>
      <c r="LW9" s="38">
        <v>9.5496000000000001E-3</v>
      </c>
      <c r="LX9" s="37">
        <v>99.301810000000003</v>
      </c>
      <c r="LY9" s="39">
        <v>1.1893199999999999</v>
      </c>
      <c r="LZ9" s="39">
        <v>8.2400000000000008E-3</v>
      </c>
      <c r="MA9" s="36">
        <v>492560.33905000001</v>
      </c>
      <c r="MB9" s="39">
        <v>1.19757</v>
      </c>
      <c r="MC9" s="38">
        <v>6.9310999999999999E-3</v>
      </c>
      <c r="MD9" s="37">
        <v>98.919550000000001</v>
      </c>
      <c r="ME9" s="39">
        <v>1.1846699999999999</v>
      </c>
      <c r="MF9" s="39">
        <v>-1.226E-2</v>
      </c>
      <c r="MG9" s="36">
        <v>-131208.26717000001</v>
      </c>
      <c r="MH9" s="39">
        <v>1.17241</v>
      </c>
      <c r="MI9" s="38">
        <v>-1.0346599999999999E-2</v>
      </c>
      <c r="MJ9" s="37">
        <v>97.294920000000005</v>
      </c>
      <c r="MK9" s="36">
        <v>72300</v>
      </c>
      <c r="ML9" s="36">
        <v>72300</v>
      </c>
      <c r="MM9" s="36">
        <v>72300</v>
      </c>
      <c r="MN9" s="36">
        <v>72300</v>
      </c>
      <c r="MO9" s="36">
        <v>72300</v>
      </c>
      <c r="MP9" s="36">
        <v>72300</v>
      </c>
      <c r="MQ9" s="36">
        <v>3510</v>
      </c>
      <c r="MR9" s="36">
        <v>3510</v>
      </c>
      <c r="MS9" s="36">
        <v>3510</v>
      </c>
      <c r="MT9" s="37">
        <v>7720</v>
      </c>
      <c r="MU9" s="37">
        <v>-2013</v>
      </c>
      <c r="MV9" s="36">
        <v>-20368711.388149999</v>
      </c>
      <c r="MW9" s="37">
        <v>5707</v>
      </c>
      <c r="MX9" s="38">
        <v>-0.26075130000000002</v>
      </c>
      <c r="MY9" s="37">
        <v>6077</v>
      </c>
      <c r="MZ9" s="37">
        <v>-1220</v>
      </c>
      <c r="NA9" s="36">
        <v>-12577038.246789999</v>
      </c>
      <c r="NB9" s="37">
        <v>4857</v>
      </c>
      <c r="NC9" s="38">
        <v>-0.20075700000000002</v>
      </c>
      <c r="ND9" s="37">
        <v>1641</v>
      </c>
      <c r="NE9" s="37">
        <v>-792</v>
      </c>
      <c r="NF9" s="36">
        <v>-7357276.5799500002</v>
      </c>
      <c r="NG9" s="37">
        <v>849</v>
      </c>
      <c r="NH9" s="38">
        <v>-0.48263250000000002</v>
      </c>
      <c r="NI9" s="36">
        <v>82265237.010000005</v>
      </c>
      <c r="NJ9" s="36">
        <v>-20890298.02</v>
      </c>
      <c r="NK9" s="36">
        <v>-20890298.02</v>
      </c>
      <c r="NL9" s="36">
        <v>61374938.990000002</v>
      </c>
      <c r="NM9" s="38">
        <v>-0.25393830000000001</v>
      </c>
      <c r="NN9" s="37">
        <v>73.167360000000002</v>
      </c>
      <c r="NO9" s="36">
        <v>64513773.009999998</v>
      </c>
      <c r="NP9" s="36">
        <v>-11719904.02</v>
      </c>
      <c r="NQ9" s="36">
        <v>-11719904.02</v>
      </c>
      <c r="NR9" s="36">
        <v>52793868.990000002</v>
      </c>
      <c r="NS9" s="38">
        <v>-0.1816651</v>
      </c>
      <c r="NT9" s="37">
        <v>80.584699999999998</v>
      </c>
      <c r="NU9" s="36">
        <v>17751464</v>
      </c>
      <c r="NV9" s="36">
        <v>-9170394</v>
      </c>
      <c r="NW9" s="36">
        <v>-9170394</v>
      </c>
      <c r="NX9" s="36">
        <v>8581070</v>
      </c>
      <c r="NY9" s="38">
        <v>-0.51659929999999998</v>
      </c>
      <c r="NZ9" s="37">
        <v>46.328699999999998</v>
      </c>
      <c r="OA9" s="36">
        <v>235717.01149</v>
      </c>
      <c r="OB9" s="36">
        <v>39506.93017</v>
      </c>
      <c r="OC9" s="36"/>
      <c r="OD9" s="36">
        <v>275223.94166000001</v>
      </c>
      <c r="OE9" s="38">
        <v>0.16760320000000001</v>
      </c>
      <c r="OF9" s="37">
        <v>110.52334999999999</v>
      </c>
      <c r="OG9" s="36">
        <v>188086.80178000001</v>
      </c>
      <c r="OH9" s="36">
        <v>59771.738080000003</v>
      </c>
      <c r="OI9" s="36"/>
      <c r="OJ9" s="36">
        <v>247858.53985999999</v>
      </c>
      <c r="OK9" s="38">
        <v>0.31778810000000002</v>
      </c>
      <c r="OL9" s="37">
        <v>125.25156</v>
      </c>
      <c r="OM9" s="36">
        <v>60585.201370000002</v>
      </c>
      <c r="ON9" s="36">
        <v>-11268.707109999999</v>
      </c>
      <c r="OO9" s="36"/>
      <c r="OP9" s="36">
        <v>49316.494250000003</v>
      </c>
      <c r="OQ9" s="38">
        <v>-0.18599769999999999</v>
      </c>
      <c r="OR9" s="37">
        <v>75.298180000000002</v>
      </c>
      <c r="OS9" s="39">
        <v>24.641829999999999</v>
      </c>
      <c r="OT9" s="39">
        <v>0.96355000000000002</v>
      </c>
      <c r="OU9" s="36"/>
      <c r="OV9" s="39">
        <v>25.60538</v>
      </c>
      <c r="OW9" s="38">
        <v>3.9102100000000001E-2</v>
      </c>
      <c r="OX9" s="37">
        <v>113.74375000000001</v>
      </c>
      <c r="OY9" s="39">
        <v>19.34985</v>
      </c>
      <c r="OZ9" s="39">
        <v>3.46705</v>
      </c>
      <c r="PA9" s="36"/>
      <c r="PB9" s="39">
        <v>22.8169</v>
      </c>
      <c r="PC9" s="38">
        <v>0.1791769</v>
      </c>
      <c r="PD9" s="37">
        <v>128.04722000000001</v>
      </c>
      <c r="PE9" s="39">
        <v>6.6996599999999997</v>
      </c>
      <c r="PF9" s="39">
        <v>-1.8146</v>
      </c>
      <c r="PG9" s="36"/>
      <c r="PH9" s="39">
        <v>4.8850600000000002</v>
      </c>
      <c r="PI9" s="38">
        <v>-0.27084980000000003</v>
      </c>
      <c r="PJ9" s="37">
        <v>82.994810000000001</v>
      </c>
      <c r="PK9" s="36">
        <v>51276.945930000002</v>
      </c>
      <c r="PL9" s="36">
        <v>-5250.2578199999998</v>
      </c>
      <c r="PM9" s="36"/>
      <c r="PN9" s="36">
        <v>46026.688099999999</v>
      </c>
      <c r="PO9" s="38">
        <v>-0.1023902</v>
      </c>
      <c r="PP9" s="37"/>
      <c r="PQ9" s="39">
        <v>5.3604900000000004</v>
      </c>
      <c r="PR9" s="39">
        <v>-1.0784100000000001</v>
      </c>
      <c r="PS9" s="36"/>
      <c r="PT9" s="39">
        <v>4.2820799999999997</v>
      </c>
      <c r="PU9" s="38">
        <v>-0.2011771</v>
      </c>
      <c r="PV9" s="37"/>
      <c r="PW9" s="37">
        <v>7231</v>
      </c>
      <c r="PX9" s="37">
        <v>-2463</v>
      </c>
      <c r="PY9" s="36">
        <v>-29697427.14082</v>
      </c>
      <c r="PZ9" s="37">
        <v>4768</v>
      </c>
      <c r="QA9" s="38">
        <v>-0.34061680000000005</v>
      </c>
      <c r="QB9" s="37">
        <v>76.121759999999995</v>
      </c>
      <c r="QC9" s="37">
        <v>5574</v>
      </c>
      <c r="QD9" s="37">
        <v>-1531</v>
      </c>
      <c r="QE9" s="36">
        <v>0</v>
      </c>
      <c r="QF9" s="37">
        <v>4043</v>
      </c>
      <c r="QG9" s="38">
        <v>-0.27466809999999997</v>
      </c>
      <c r="QH9" s="37">
        <v>82.962609999999998</v>
      </c>
      <c r="QI9" s="37">
        <v>1657</v>
      </c>
      <c r="QJ9" s="37">
        <v>-932</v>
      </c>
      <c r="QK9" s="36">
        <v>-10427954.13232</v>
      </c>
      <c r="QL9" s="37">
        <v>725</v>
      </c>
      <c r="QM9" s="38">
        <v>-0.56246229999999997</v>
      </c>
      <c r="QN9" s="37">
        <v>52.483930000000001</v>
      </c>
      <c r="QO9" s="37">
        <v>18685753</v>
      </c>
      <c r="QP9" s="37">
        <v>-1833361</v>
      </c>
      <c r="QQ9" s="36">
        <v>-7364181.4418200003</v>
      </c>
      <c r="QR9" s="37">
        <v>16852392</v>
      </c>
      <c r="QS9" s="38">
        <v>-9.8115400000000005E-2</v>
      </c>
      <c r="QT9" s="37">
        <v>100</v>
      </c>
      <c r="QU9" s="37">
        <v>11772767</v>
      </c>
      <c r="QV9" s="37">
        <v>-934378</v>
      </c>
      <c r="QW9" s="36">
        <v>0</v>
      </c>
      <c r="QX9" s="37">
        <v>10838389</v>
      </c>
      <c r="QY9" s="38">
        <v>-7.9367699999999999E-2</v>
      </c>
      <c r="QZ9" s="37">
        <v>100</v>
      </c>
      <c r="RA9" s="37">
        <v>6912986</v>
      </c>
      <c r="RB9" s="37">
        <v>-898983</v>
      </c>
      <c r="RC9" s="36">
        <v>-1757492.21215</v>
      </c>
      <c r="RD9" s="37">
        <v>6014003</v>
      </c>
      <c r="RE9" s="38">
        <v>-0.13004260000000001</v>
      </c>
      <c r="RF9" s="37">
        <v>100</v>
      </c>
    </row>
    <row r="10" spans="1:474" x14ac:dyDescent="0.25">
      <c r="A10" s="1" t="s">
        <v>505</v>
      </c>
      <c r="B10" s="1" t="s">
        <v>507</v>
      </c>
      <c r="C10" s="34">
        <v>3.5743999999999998E-2</v>
      </c>
      <c r="D10" s="35">
        <v>-0.65832000000000002</v>
      </c>
      <c r="E10" s="36"/>
      <c r="F10" s="34">
        <v>2.9160699999999998E-2</v>
      </c>
      <c r="G10" s="35">
        <v>-0.65832000000000002</v>
      </c>
      <c r="H10" s="37">
        <v>89.061390000000003</v>
      </c>
      <c r="I10" s="37">
        <v>178</v>
      </c>
      <c r="J10" s="37">
        <v>13</v>
      </c>
      <c r="K10" s="36">
        <v>0</v>
      </c>
      <c r="L10" s="37">
        <v>191</v>
      </c>
      <c r="M10" s="38">
        <v>7.3033700000000007E-2</v>
      </c>
      <c r="N10" s="37">
        <v>111.17247999999999</v>
      </c>
      <c r="O10" s="37">
        <v>101</v>
      </c>
      <c r="P10" s="37">
        <v>35</v>
      </c>
      <c r="Q10" s="36"/>
      <c r="R10" s="37">
        <v>136</v>
      </c>
      <c r="S10" s="38">
        <v>0.34653469999999997</v>
      </c>
      <c r="T10" s="37">
        <v>139.50876</v>
      </c>
      <c r="U10" s="37">
        <v>189</v>
      </c>
      <c r="V10" s="37">
        <v>22</v>
      </c>
      <c r="W10" s="36"/>
      <c r="X10" s="37">
        <v>211</v>
      </c>
      <c r="Y10" s="38">
        <v>0.11640209999999999</v>
      </c>
      <c r="Z10" s="37">
        <v>115.6657</v>
      </c>
      <c r="AA10" s="37">
        <v>1203</v>
      </c>
      <c r="AB10" s="37">
        <v>203</v>
      </c>
      <c r="AC10" s="36">
        <v>6495778.1768500004</v>
      </c>
      <c r="AD10" s="37">
        <v>1406</v>
      </c>
      <c r="AE10" s="38">
        <v>0.16874479999999997</v>
      </c>
      <c r="AF10" s="37">
        <v>132.02700999999999</v>
      </c>
      <c r="AG10" s="37">
        <v>3392279</v>
      </c>
      <c r="AH10" s="37">
        <v>-144181</v>
      </c>
      <c r="AI10" s="36">
        <v>-1809314.52306</v>
      </c>
      <c r="AJ10" s="37">
        <v>3248098</v>
      </c>
      <c r="AK10" s="38">
        <v>-4.2502700000000004E-2</v>
      </c>
      <c r="AL10" s="37">
        <v>100</v>
      </c>
      <c r="AM10" s="36">
        <v>-1488738.18943</v>
      </c>
      <c r="AN10" s="38">
        <v>-2.8866200000000002E-2</v>
      </c>
      <c r="AO10" s="36">
        <v>-1288267.2489499999</v>
      </c>
      <c r="AP10" s="38">
        <v>-3.04514E-2</v>
      </c>
      <c r="AQ10" s="36">
        <v>-144140.22659000001</v>
      </c>
      <c r="AR10" s="38">
        <v>-1.57412E-2</v>
      </c>
      <c r="AS10" s="36">
        <v>0</v>
      </c>
      <c r="AT10" s="36">
        <v>0</v>
      </c>
      <c r="AU10" s="36">
        <v>0</v>
      </c>
      <c r="AV10" s="36">
        <v>0</v>
      </c>
      <c r="AW10" s="36">
        <v>0</v>
      </c>
      <c r="AX10" s="36">
        <v>0</v>
      </c>
      <c r="AY10" s="36">
        <v>0</v>
      </c>
      <c r="AZ10" s="36">
        <v>0</v>
      </c>
      <c r="BA10" s="36">
        <v>0</v>
      </c>
      <c r="BB10" s="36">
        <v>912009.14749999996</v>
      </c>
      <c r="BC10" s="34">
        <v>1.8105800000000002E-2</v>
      </c>
      <c r="BD10" s="36">
        <v>742094.93191000004</v>
      </c>
      <c r="BE10" s="34">
        <v>1.79735E-2</v>
      </c>
      <c r="BF10" s="36">
        <v>148672.78817000001</v>
      </c>
      <c r="BG10" s="34">
        <v>1.6500000000000001E-2</v>
      </c>
      <c r="BH10" s="34">
        <v>0.45927000000000001</v>
      </c>
      <c r="BI10" s="35">
        <v>11.436999999999999</v>
      </c>
      <c r="BJ10" s="36"/>
      <c r="BK10" s="34">
        <v>0.57363999999999993</v>
      </c>
      <c r="BL10" s="35">
        <v>11.436999999999999</v>
      </c>
      <c r="BM10" s="37"/>
      <c r="BN10" s="39">
        <v>1.0374099999999999</v>
      </c>
      <c r="BO10" s="39">
        <v>-6.8199999999999997E-3</v>
      </c>
      <c r="BP10" s="36">
        <v>-274900.92927000002</v>
      </c>
      <c r="BQ10" s="39">
        <v>1.0305800000000001</v>
      </c>
      <c r="BR10" s="38">
        <v>-6.5772000000000001E-3</v>
      </c>
      <c r="BS10" s="37">
        <v>100.58579</v>
      </c>
      <c r="BT10" s="36">
        <v>6997026</v>
      </c>
      <c r="BU10" s="36">
        <v>2248115</v>
      </c>
      <c r="BV10" s="36"/>
      <c r="BW10" s="36">
        <v>5807375</v>
      </c>
      <c r="BX10" s="36">
        <v>1582379</v>
      </c>
      <c r="BY10" s="36"/>
      <c r="BZ10" s="36">
        <v>7389754</v>
      </c>
      <c r="CA10" s="34">
        <v>0.27247749999999998</v>
      </c>
      <c r="CB10" s="37"/>
      <c r="CC10" s="36">
        <v>1189651</v>
      </c>
      <c r="CD10" s="36">
        <v>665736</v>
      </c>
      <c r="CE10" s="36"/>
      <c r="CF10" s="36">
        <v>1855387</v>
      </c>
      <c r="CG10" s="34">
        <v>0.5596061</v>
      </c>
      <c r="CH10" s="37"/>
      <c r="CI10" s="36">
        <v>9245141</v>
      </c>
      <c r="CJ10" s="34">
        <v>0.32129579999999996</v>
      </c>
      <c r="CK10" s="37"/>
      <c r="CL10" s="36">
        <v>4737.3229499999998</v>
      </c>
      <c r="CM10" s="36">
        <v>317.42881999999997</v>
      </c>
      <c r="CN10" s="36"/>
      <c r="CO10" s="36">
        <v>4653.3453499999996</v>
      </c>
      <c r="CP10" s="36">
        <v>446.55389000000002</v>
      </c>
      <c r="CQ10" s="36"/>
      <c r="CR10" s="36">
        <v>5099.8992399999997</v>
      </c>
      <c r="CS10" s="38">
        <v>9.5964100000000011E-2</v>
      </c>
      <c r="CT10" s="37"/>
      <c r="CU10" s="36">
        <v>5194.9825300000002</v>
      </c>
      <c r="CV10" s="36">
        <v>-312.38515999999998</v>
      </c>
      <c r="CW10" s="36"/>
      <c r="CX10" s="36">
        <v>4882.5973700000004</v>
      </c>
      <c r="CY10" s="38">
        <v>-6.0132100000000001E-2</v>
      </c>
      <c r="CZ10" s="37"/>
      <c r="DA10" s="36">
        <v>5054.7517799999996</v>
      </c>
      <c r="DB10" s="38">
        <v>6.7005999999999996E-2</v>
      </c>
      <c r="DC10" s="37"/>
      <c r="DD10" s="36">
        <v>282337.17004</v>
      </c>
      <c r="DE10" s="36">
        <v>-4130.82834</v>
      </c>
      <c r="DF10" s="36"/>
      <c r="DG10" s="36">
        <v>278206.34169999999</v>
      </c>
      <c r="DH10" s="38">
        <v>-1.4630799999999999E-2</v>
      </c>
      <c r="DI10" s="37"/>
      <c r="DJ10" s="36">
        <v>176641.06140000001</v>
      </c>
      <c r="DK10" s="36">
        <v>-43822.911370000002</v>
      </c>
      <c r="DL10" s="36"/>
      <c r="DM10" s="36">
        <v>132818.15002999999</v>
      </c>
      <c r="DN10" s="38">
        <v>-0.24809020000000001</v>
      </c>
      <c r="DO10" s="37"/>
      <c r="DP10" s="36">
        <v>265949.62170999998</v>
      </c>
      <c r="DQ10" s="36">
        <v>-17949.683969999998</v>
      </c>
      <c r="DR10" s="36"/>
      <c r="DS10" s="36">
        <v>247999.93773999999</v>
      </c>
      <c r="DT10" s="38">
        <v>-6.7492799999999992E-2</v>
      </c>
      <c r="DU10" s="37"/>
      <c r="DV10" s="36">
        <v>4827.4106400000001</v>
      </c>
      <c r="DW10" s="36">
        <v>428.45990999999998</v>
      </c>
      <c r="DX10" s="36"/>
      <c r="DY10" s="36">
        <v>5255.8705499999996</v>
      </c>
      <c r="DZ10" s="34">
        <v>8.8755600000000004E-2</v>
      </c>
      <c r="EA10" s="37"/>
      <c r="EB10" s="36">
        <v>292898.41080999997</v>
      </c>
      <c r="EC10" s="36">
        <v>-6183.6248100000003</v>
      </c>
      <c r="ED10" s="36"/>
      <c r="EE10" s="36">
        <v>286714.78600000002</v>
      </c>
      <c r="EF10" s="38">
        <v>-2.11118E-2</v>
      </c>
      <c r="EG10" s="37"/>
      <c r="EH10" s="36">
        <v>352356788.20999998</v>
      </c>
      <c r="EI10" s="36">
        <v>50764200.909999996</v>
      </c>
      <c r="EJ10" s="36"/>
      <c r="EK10" s="36">
        <v>403120989.12</v>
      </c>
      <c r="EL10" s="38">
        <v>0.14407040000000002</v>
      </c>
      <c r="EM10" s="37"/>
      <c r="EN10" s="36">
        <v>40450803.060000002</v>
      </c>
      <c r="EO10" s="36">
        <v>10020093.949999999</v>
      </c>
      <c r="EP10" s="36"/>
      <c r="EQ10" s="36">
        <v>50470897.009999998</v>
      </c>
      <c r="ER10" s="38">
        <v>0.24771059999999998</v>
      </c>
      <c r="ES10" s="37"/>
      <c r="ET10" s="36">
        <v>392807591.26999998</v>
      </c>
      <c r="EU10" s="36">
        <v>60784294.859999999</v>
      </c>
      <c r="EV10" s="36"/>
      <c r="EW10" s="36">
        <v>453591886.13</v>
      </c>
      <c r="EX10" s="38">
        <v>0.1547432</v>
      </c>
      <c r="EY10" s="37"/>
      <c r="EZ10" s="36">
        <v>31477.562760000001</v>
      </c>
      <c r="FA10" s="36">
        <v>1021.58661</v>
      </c>
      <c r="FB10" s="36">
        <v>1330517.8331500001</v>
      </c>
      <c r="FC10" s="36">
        <v>32499.149369999999</v>
      </c>
      <c r="FD10" s="38">
        <v>3.2454400000000001E-2</v>
      </c>
      <c r="FE10" s="37">
        <v>90.001410000000007</v>
      </c>
      <c r="FF10" s="36">
        <v>31275.758580000002</v>
      </c>
      <c r="FG10" s="36">
        <v>1087.7762499999999</v>
      </c>
      <c r="FH10" s="36">
        <v>32363.53484</v>
      </c>
      <c r="FI10" s="38">
        <v>3.4780199999999997E-2</v>
      </c>
      <c r="FJ10" s="37">
        <v>93.649320000000003</v>
      </c>
      <c r="FK10" s="36">
        <v>30240.967499999999</v>
      </c>
      <c r="FL10" s="36">
        <v>1211.9619700000001</v>
      </c>
      <c r="FM10" s="36">
        <v>1997175.7488200001</v>
      </c>
      <c r="FN10" s="36">
        <v>31452.929479999999</v>
      </c>
      <c r="FO10" s="38">
        <v>4.0076799999999996E-2</v>
      </c>
      <c r="FP10" s="37">
        <v>88.356219999999993</v>
      </c>
      <c r="FQ10" s="36">
        <v>30342.554489999999</v>
      </c>
      <c r="FR10" s="36">
        <v>1192.1618800000001</v>
      </c>
      <c r="FS10" s="36">
        <v>1605418.7624299999</v>
      </c>
      <c r="FT10" s="36">
        <v>31534.716359999999</v>
      </c>
      <c r="FU10" s="38">
        <v>3.9290100000000001E-2</v>
      </c>
      <c r="FV10" s="37">
        <v>89.477270000000004</v>
      </c>
      <c r="FW10" s="36">
        <v>29687.340609999999</v>
      </c>
      <c r="FX10" s="36">
        <v>1453.72255</v>
      </c>
      <c r="FY10" s="36">
        <v>434304.67933000001</v>
      </c>
      <c r="FZ10" s="36">
        <v>31141.063160000002</v>
      </c>
      <c r="GA10" s="38">
        <v>4.8967799999999999E-2</v>
      </c>
      <c r="GB10" s="37">
        <v>83.809669999999997</v>
      </c>
      <c r="GC10" s="37">
        <v>4</v>
      </c>
      <c r="GD10" s="37">
        <v>0</v>
      </c>
      <c r="GE10" s="36"/>
      <c r="GF10" s="37">
        <v>4</v>
      </c>
      <c r="GG10" s="38">
        <v>0</v>
      </c>
      <c r="GH10" s="37"/>
      <c r="GI10" s="37">
        <v>4</v>
      </c>
      <c r="GJ10" s="37">
        <v>0</v>
      </c>
      <c r="GK10" s="36"/>
      <c r="GL10" s="37">
        <v>4</v>
      </c>
      <c r="GM10" s="38">
        <v>0</v>
      </c>
      <c r="GN10" s="37"/>
      <c r="GO10" s="37">
        <v>4</v>
      </c>
      <c r="GP10" s="37">
        <v>0</v>
      </c>
      <c r="GQ10" s="36"/>
      <c r="GR10" s="37">
        <v>4</v>
      </c>
      <c r="GS10" s="38">
        <v>0</v>
      </c>
      <c r="GT10" s="37"/>
      <c r="GU10" s="34">
        <v>1.0239799999999999E-2</v>
      </c>
      <c r="GV10" s="35">
        <v>0.26941999999999999</v>
      </c>
      <c r="GW10" s="36"/>
      <c r="GX10" s="34">
        <v>1.2934000000000001E-2</v>
      </c>
      <c r="GY10" s="35">
        <v>0.26941999999999999</v>
      </c>
      <c r="GZ10" s="37"/>
      <c r="HA10" s="34">
        <v>1.0204700000000001E-2</v>
      </c>
      <c r="HB10" s="35">
        <v>0.19212000000000001</v>
      </c>
      <c r="HC10" s="36"/>
      <c r="HD10" s="34">
        <v>1.2125799999999999E-2</v>
      </c>
      <c r="HE10" s="35">
        <v>0.19212000000000001</v>
      </c>
      <c r="HF10" s="37"/>
      <c r="HG10" s="34">
        <v>1.0439799999999999E-2</v>
      </c>
      <c r="HH10" s="35">
        <v>0.69760999999999995</v>
      </c>
      <c r="HI10" s="36"/>
      <c r="HJ10" s="34">
        <v>1.7415899999999998E-2</v>
      </c>
      <c r="HK10" s="35">
        <v>0.69760999999999995</v>
      </c>
      <c r="HL10" s="37"/>
      <c r="HM10" s="34">
        <v>3.0192000000000001E-3</v>
      </c>
      <c r="HN10" s="35">
        <v>0.14412</v>
      </c>
      <c r="HO10" s="36"/>
      <c r="HP10" s="34">
        <v>4.4603999999999998E-3</v>
      </c>
      <c r="HQ10" s="35">
        <v>0.14412</v>
      </c>
      <c r="HR10" s="37"/>
      <c r="HS10" s="34">
        <v>3.0875000000000004E-3</v>
      </c>
      <c r="HT10" s="35">
        <v>0.11594</v>
      </c>
      <c r="HU10" s="36"/>
      <c r="HV10" s="34">
        <v>4.2469000000000005E-3</v>
      </c>
      <c r="HW10" s="35">
        <v>0.11594</v>
      </c>
      <c r="HX10" s="37"/>
      <c r="HY10" s="34">
        <v>2.6936999999999998E-3</v>
      </c>
      <c r="HZ10" s="35">
        <v>0.28328999999999999</v>
      </c>
      <c r="IA10" s="36"/>
      <c r="IB10" s="34">
        <v>5.5266000000000004E-3</v>
      </c>
      <c r="IC10" s="35">
        <v>0.28328999999999999</v>
      </c>
      <c r="ID10" s="37"/>
      <c r="IE10" s="34">
        <v>7.9000000000000009E-5</v>
      </c>
      <c r="IF10" s="35">
        <v>2.9499999999999999E-3</v>
      </c>
      <c r="IG10" s="36">
        <v>16113033.167549999</v>
      </c>
      <c r="IH10" s="34">
        <v>1.0850000000000001E-4</v>
      </c>
      <c r="II10" s="35">
        <v>2.9499999999999999E-3</v>
      </c>
      <c r="IJ10" s="37">
        <v>142.99607</v>
      </c>
      <c r="IK10" s="34">
        <v>1.06E-4</v>
      </c>
      <c r="IL10" s="35">
        <v>2.7699999999999999E-3</v>
      </c>
      <c r="IM10" s="36">
        <v>0</v>
      </c>
      <c r="IN10" s="34">
        <v>1.337E-4</v>
      </c>
      <c r="IO10" s="35">
        <v>2.7699999999999999E-3</v>
      </c>
      <c r="IP10" s="37">
        <v>132.81828999999999</v>
      </c>
      <c r="IQ10" s="34">
        <v>3.3099999999999998E-5</v>
      </c>
      <c r="IR10" s="35">
        <v>3.0100000000000001E-3</v>
      </c>
      <c r="IS10" s="36">
        <v>5866486.4396700002</v>
      </c>
      <c r="IT10" s="34">
        <v>6.3200000000000005E-5</v>
      </c>
      <c r="IU10" s="35">
        <v>3.0100000000000001E-3</v>
      </c>
      <c r="IV10" s="37">
        <v>199.24931000000001</v>
      </c>
      <c r="IW10" s="34">
        <v>4.2414000000000002E-3</v>
      </c>
      <c r="IX10" s="35">
        <v>0.13583999999999999</v>
      </c>
      <c r="IY10" s="36"/>
      <c r="IZ10" s="34">
        <v>5.5998000000000003E-3</v>
      </c>
      <c r="JA10" s="35">
        <v>0.13583999999999999</v>
      </c>
      <c r="JB10" s="37"/>
      <c r="JC10" s="34">
        <v>9.2160000000000007E-4</v>
      </c>
      <c r="JD10" s="35">
        <v>1.7909999999999999E-2</v>
      </c>
      <c r="JE10" s="36"/>
      <c r="JF10" s="34">
        <v>1.1007E-3</v>
      </c>
      <c r="JG10" s="35">
        <v>1.7909999999999999E-2</v>
      </c>
      <c r="JH10" s="37">
        <v>125.81792</v>
      </c>
      <c r="JI10" s="34">
        <v>3.546E-4</v>
      </c>
      <c r="JJ10" s="35">
        <v>7.8200000000000006E-3</v>
      </c>
      <c r="JK10" s="36">
        <v>8305092.6999000004</v>
      </c>
      <c r="JL10" s="34">
        <v>4.3290000000000001E-4</v>
      </c>
      <c r="JM10" s="35">
        <v>7.8200000000000006E-3</v>
      </c>
      <c r="JN10" s="37">
        <v>132.04725999999999</v>
      </c>
      <c r="JO10" s="36">
        <v>25699.602419999999</v>
      </c>
      <c r="JP10" s="36">
        <v>-289.9699</v>
      </c>
      <c r="JQ10" s="36">
        <v>-576729.04192999995</v>
      </c>
      <c r="JR10" s="36">
        <v>25409.632509999999</v>
      </c>
      <c r="JS10" s="38">
        <v>-1.1283099999999999E-2</v>
      </c>
      <c r="JT10" s="37">
        <v>85.499070000000003</v>
      </c>
      <c r="JU10" s="36">
        <v>25777.74541</v>
      </c>
      <c r="JV10" s="36">
        <v>-335.76098999999999</v>
      </c>
      <c r="JW10" s="36">
        <v>-546172.31703999999</v>
      </c>
      <c r="JX10" s="36">
        <v>25441.984420000001</v>
      </c>
      <c r="JY10" s="38">
        <v>-1.3025199999999999E-2</v>
      </c>
      <c r="JZ10" s="37">
        <v>86.387810000000002</v>
      </c>
      <c r="KA10" s="36">
        <v>25272.866170000001</v>
      </c>
      <c r="KB10" s="36">
        <v>12.61246</v>
      </c>
      <c r="KC10" s="36">
        <v>4532.5615900000003</v>
      </c>
      <c r="KD10" s="36">
        <v>25285.478630000001</v>
      </c>
      <c r="KE10" s="38">
        <v>4.9910000000000004E-4</v>
      </c>
      <c r="KF10" s="37">
        <v>81.309560000000005</v>
      </c>
      <c r="KG10" s="37">
        <v>4</v>
      </c>
      <c r="KH10" s="37">
        <v>0</v>
      </c>
      <c r="KI10" s="36"/>
      <c r="KJ10" s="37">
        <v>4</v>
      </c>
      <c r="KK10" s="38">
        <v>0</v>
      </c>
      <c r="KL10" s="37">
        <v>100</v>
      </c>
      <c r="KM10" s="37">
        <v>4</v>
      </c>
      <c r="KN10" s="37">
        <v>0</v>
      </c>
      <c r="KO10" s="36"/>
      <c r="KP10" s="37">
        <v>4</v>
      </c>
      <c r="KQ10" s="38">
        <v>0</v>
      </c>
      <c r="KR10" s="37">
        <v>100</v>
      </c>
      <c r="KS10" s="37">
        <v>4</v>
      </c>
      <c r="KT10" s="37">
        <v>0</v>
      </c>
      <c r="KU10" s="36"/>
      <c r="KV10" s="37">
        <v>4</v>
      </c>
      <c r="KW10" s="38">
        <v>0</v>
      </c>
      <c r="KX10" s="37">
        <v>100</v>
      </c>
      <c r="KY10" s="37">
        <v>1738</v>
      </c>
      <c r="KZ10" s="37">
        <v>526</v>
      </c>
      <c r="LA10" s="37">
        <v>2264</v>
      </c>
      <c r="LB10" s="38">
        <v>0.30264669999999999</v>
      </c>
      <c r="LC10" s="37">
        <v>147.73381000000001</v>
      </c>
      <c r="LD10" s="37">
        <v>1469</v>
      </c>
      <c r="LE10" s="37">
        <v>327</v>
      </c>
      <c r="LF10" s="37">
        <v>1796</v>
      </c>
      <c r="LG10" s="38">
        <v>0.2226004</v>
      </c>
      <c r="LH10" s="37">
        <v>137.5497</v>
      </c>
      <c r="LI10" s="37">
        <v>269</v>
      </c>
      <c r="LJ10" s="37">
        <v>199</v>
      </c>
      <c r="LK10" s="37">
        <v>468</v>
      </c>
      <c r="LL10" s="38">
        <v>0.73977700000000002</v>
      </c>
      <c r="LM10" s="37">
        <v>205.16884999999999</v>
      </c>
      <c r="LN10" s="39">
        <v>1.2211099999999999</v>
      </c>
      <c r="LO10" s="39">
        <v>5.6270000000000001E-2</v>
      </c>
      <c r="LP10" s="39">
        <v>1.27738</v>
      </c>
      <c r="LQ10" s="38">
        <v>4.60799E-2</v>
      </c>
      <c r="LR10" s="37">
        <v>104.18299</v>
      </c>
      <c r="LS10" s="39">
        <v>1.1770799999999999</v>
      </c>
      <c r="LT10" s="39">
        <v>6.2390000000000001E-2</v>
      </c>
      <c r="LU10" s="36">
        <v>2151591.0794700002</v>
      </c>
      <c r="LV10" s="39">
        <v>1.2394799999999999</v>
      </c>
      <c r="LW10" s="38">
        <v>5.3005699999999996E-2</v>
      </c>
      <c r="LX10" s="37">
        <v>103.57626999999999</v>
      </c>
      <c r="LY10" s="39">
        <v>1.1767099999999999</v>
      </c>
      <c r="LZ10" s="39">
        <v>6.1129999999999997E-2</v>
      </c>
      <c r="MA10" s="36">
        <v>2573904.7907500002</v>
      </c>
      <c r="MB10" s="39">
        <v>1.23783</v>
      </c>
      <c r="MC10" s="38">
        <v>5.1946000000000006E-2</v>
      </c>
      <c r="MD10" s="37">
        <v>103.34175</v>
      </c>
      <c r="ME10" s="39">
        <v>1.1746700000000001</v>
      </c>
      <c r="MF10" s="39">
        <v>5.6910000000000002E-2</v>
      </c>
      <c r="MG10" s="36">
        <v>429772.11774000002</v>
      </c>
      <c r="MH10" s="39">
        <v>1.2315799999999999</v>
      </c>
      <c r="MI10" s="38">
        <v>4.8444500000000001E-2</v>
      </c>
      <c r="MJ10" s="37">
        <v>103.07478999999999</v>
      </c>
      <c r="MK10" s="36">
        <v>0</v>
      </c>
      <c r="ML10" s="36">
        <v>0</v>
      </c>
      <c r="MM10" s="36">
        <v>0</v>
      </c>
      <c r="MN10" s="36">
        <v>0</v>
      </c>
      <c r="MO10" s="36">
        <v>0</v>
      </c>
      <c r="MP10" s="36">
        <v>0</v>
      </c>
      <c r="MQ10" s="36">
        <v>0</v>
      </c>
      <c r="MR10" s="36">
        <v>0</v>
      </c>
      <c r="MS10" s="36">
        <v>0</v>
      </c>
      <c r="MT10" s="37">
        <v>1738</v>
      </c>
      <c r="MU10" s="37">
        <v>526</v>
      </c>
      <c r="MV10" s="36">
        <v>13438228.051929999</v>
      </c>
      <c r="MW10" s="37">
        <v>2264</v>
      </c>
      <c r="MX10" s="38">
        <v>0.30264669999999999</v>
      </c>
      <c r="MY10" s="37">
        <v>1469</v>
      </c>
      <c r="MZ10" s="37">
        <v>327</v>
      </c>
      <c r="NA10" s="36">
        <v>8372468.3270399999</v>
      </c>
      <c r="NB10" s="37">
        <v>1796</v>
      </c>
      <c r="NC10" s="38">
        <v>0.2226004</v>
      </c>
      <c r="ND10" s="37">
        <v>269</v>
      </c>
      <c r="NE10" s="37">
        <v>199</v>
      </c>
      <c r="NF10" s="36">
        <v>5030670.4384099999</v>
      </c>
      <c r="NG10" s="37">
        <v>468</v>
      </c>
      <c r="NH10" s="38">
        <v>0.73977700000000002</v>
      </c>
      <c r="NI10" s="36">
        <v>44665909</v>
      </c>
      <c r="NJ10" s="36">
        <v>12861499.01</v>
      </c>
      <c r="NK10" s="36">
        <v>12861499.01</v>
      </c>
      <c r="NL10" s="36">
        <v>57527408.009999998</v>
      </c>
      <c r="NM10" s="38">
        <v>0.28794890000000001</v>
      </c>
      <c r="NN10" s="37">
        <v>126.31104000000001</v>
      </c>
      <c r="NO10" s="36">
        <v>37867508</v>
      </c>
      <c r="NP10" s="36">
        <v>7826296.0099999998</v>
      </c>
      <c r="NQ10" s="36">
        <v>7826296.0099999998</v>
      </c>
      <c r="NR10" s="36">
        <v>45693804.009999998</v>
      </c>
      <c r="NS10" s="38">
        <v>0.20667580000000002</v>
      </c>
      <c r="NT10" s="37">
        <v>118.82617999999999</v>
      </c>
      <c r="NU10" s="36">
        <v>6798401</v>
      </c>
      <c r="NV10" s="36">
        <v>5035203</v>
      </c>
      <c r="NW10" s="36">
        <v>5035203</v>
      </c>
      <c r="NX10" s="36">
        <v>11833604</v>
      </c>
      <c r="NY10" s="38">
        <v>0.7406452</v>
      </c>
      <c r="NZ10" s="37">
        <v>166.8219</v>
      </c>
      <c r="OA10" s="36">
        <v>236327.56085000001</v>
      </c>
      <c r="OB10" s="36">
        <v>36314.183279999997</v>
      </c>
      <c r="OC10" s="36"/>
      <c r="OD10" s="36">
        <v>272641.74411999999</v>
      </c>
      <c r="OE10" s="38">
        <v>0.1536604</v>
      </c>
      <c r="OF10" s="37">
        <v>109.20354</v>
      </c>
      <c r="OG10" s="36">
        <v>212738.80898999999</v>
      </c>
      <c r="OH10" s="36">
        <v>26495.76698</v>
      </c>
      <c r="OI10" s="36"/>
      <c r="OJ10" s="36">
        <v>239234.57597000001</v>
      </c>
      <c r="OK10" s="38">
        <v>0.12454599999999999</v>
      </c>
      <c r="OL10" s="37">
        <v>106.88451999999999</v>
      </c>
      <c r="OM10" s="36">
        <v>67310.900989999995</v>
      </c>
      <c r="ON10" s="36">
        <v>19700.89313</v>
      </c>
      <c r="OO10" s="36"/>
      <c r="OP10" s="36">
        <v>87011.794120000006</v>
      </c>
      <c r="OQ10" s="38">
        <v>0.29268499999999997</v>
      </c>
      <c r="OR10" s="37">
        <v>119.57808</v>
      </c>
      <c r="OS10" s="39">
        <v>9.1957699999999996</v>
      </c>
      <c r="OT10" s="39">
        <v>1.53409</v>
      </c>
      <c r="OU10" s="36"/>
      <c r="OV10" s="39">
        <v>10.72986</v>
      </c>
      <c r="OW10" s="38">
        <v>0.16682569999999999</v>
      </c>
      <c r="OX10" s="37">
        <v>127.72481999999999</v>
      </c>
      <c r="OY10" s="39">
        <v>8.2528100000000002</v>
      </c>
      <c r="OZ10" s="39">
        <v>1.1503300000000001</v>
      </c>
      <c r="PA10" s="36"/>
      <c r="PB10" s="39">
        <v>9.4031400000000005</v>
      </c>
      <c r="PC10" s="38">
        <v>0.13938680000000001</v>
      </c>
      <c r="PD10" s="37">
        <v>123.72638999999999</v>
      </c>
      <c r="PE10" s="39">
        <v>2.66337</v>
      </c>
      <c r="PF10" s="39">
        <v>0.77781</v>
      </c>
      <c r="PG10" s="36"/>
      <c r="PH10" s="39">
        <v>3.4411800000000001</v>
      </c>
      <c r="PI10" s="38">
        <v>0.29204019999999997</v>
      </c>
      <c r="PJ10" s="37">
        <v>147.06521000000001</v>
      </c>
      <c r="PK10" s="36">
        <v>54760.214110000001</v>
      </c>
      <c r="PL10" s="36">
        <v>3443.4200099999998</v>
      </c>
      <c r="PM10" s="36"/>
      <c r="PN10" s="36">
        <v>58203.634129999999</v>
      </c>
      <c r="PO10" s="38">
        <v>6.2881800000000002E-2</v>
      </c>
      <c r="PP10" s="37"/>
      <c r="PQ10" s="39">
        <v>2.1307800000000001</v>
      </c>
      <c r="PR10" s="39">
        <v>0.15983</v>
      </c>
      <c r="PS10" s="36"/>
      <c r="PT10" s="39">
        <v>2.29061</v>
      </c>
      <c r="PU10" s="38">
        <v>7.50112E-2</v>
      </c>
      <c r="PV10" s="37"/>
      <c r="PW10" s="37">
        <v>1477</v>
      </c>
      <c r="PX10" s="37">
        <v>352</v>
      </c>
      <c r="PY10" s="36">
        <v>10864323.26118</v>
      </c>
      <c r="PZ10" s="37">
        <v>1829</v>
      </c>
      <c r="QA10" s="38">
        <v>0.2383209</v>
      </c>
      <c r="QB10" s="37">
        <v>142.95658</v>
      </c>
      <c r="QC10" s="37">
        <v>1248</v>
      </c>
      <c r="QD10" s="37">
        <v>201</v>
      </c>
      <c r="QE10" s="36">
        <v>0</v>
      </c>
      <c r="QF10" s="37">
        <v>1449</v>
      </c>
      <c r="QG10" s="38">
        <v>0.1610577</v>
      </c>
      <c r="QH10" s="37">
        <v>132.80041</v>
      </c>
      <c r="QI10" s="37">
        <v>229</v>
      </c>
      <c r="QJ10" s="37">
        <v>151</v>
      </c>
      <c r="QK10" s="36">
        <v>4600898.3206700003</v>
      </c>
      <c r="QL10" s="37">
        <v>380</v>
      </c>
      <c r="QM10" s="38">
        <v>0.6593886000000001</v>
      </c>
      <c r="QN10" s="37">
        <v>199.04850999999999</v>
      </c>
      <c r="QO10" s="37">
        <v>18685753</v>
      </c>
      <c r="QP10" s="37">
        <v>-1833361</v>
      </c>
      <c r="QQ10" s="36">
        <v>-5248709.90637</v>
      </c>
      <c r="QR10" s="37">
        <v>16852392</v>
      </c>
      <c r="QS10" s="38">
        <v>-9.8115400000000005E-2</v>
      </c>
      <c r="QT10" s="37">
        <v>100</v>
      </c>
      <c r="QU10" s="37">
        <v>11772767</v>
      </c>
      <c r="QV10" s="37">
        <v>-934378</v>
      </c>
      <c r="QW10" s="36">
        <v>0</v>
      </c>
      <c r="QX10" s="37">
        <v>10838389</v>
      </c>
      <c r="QY10" s="38">
        <v>-7.9367699999999999E-2</v>
      </c>
      <c r="QZ10" s="37">
        <v>100</v>
      </c>
      <c r="RA10" s="37">
        <v>6912986</v>
      </c>
      <c r="RB10" s="37">
        <v>-898983</v>
      </c>
      <c r="RC10" s="36">
        <v>-1265588.1189999999</v>
      </c>
      <c r="RD10" s="37">
        <v>6014003</v>
      </c>
      <c r="RE10" s="38">
        <v>-0.13004260000000001</v>
      </c>
      <c r="RF10" s="37">
        <v>100</v>
      </c>
    </row>
    <row r="11" spans="1:474" x14ac:dyDescent="0.25">
      <c r="A11" s="1" t="s">
        <v>505</v>
      </c>
      <c r="B11" s="1" t="s">
        <v>512</v>
      </c>
      <c r="C11" s="34">
        <v>3.2219600000000001E-2</v>
      </c>
      <c r="D11" s="35">
        <v>-0.61841000000000002</v>
      </c>
      <c r="E11" s="36"/>
      <c r="F11" s="34">
        <v>2.60355E-2</v>
      </c>
      <c r="G11" s="35">
        <v>-0.61841000000000002</v>
      </c>
      <c r="H11" s="37">
        <v>88.214600000000004</v>
      </c>
      <c r="I11" s="37">
        <v>139</v>
      </c>
      <c r="J11" s="37">
        <v>7</v>
      </c>
      <c r="K11" s="36">
        <v>0</v>
      </c>
      <c r="L11" s="37">
        <v>146</v>
      </c>
      <c r="M11" s="38">
        <v>5.03597E-2</v>
      </c>
      <c r="N11" s="37">
        <v>108.82333</v>
      </c>
      <c r="O11" s="37">
        <v>96</v>
      </c>
      <c r="P11" s="37">
        <v>-1</v>
      </c>
      <c r="Q11" s="36"/>
      <c r="R11" s="37">
        <v>95</v>
      </c>
      <c r="S11" s="38">
        <v>-1.0416700000000001E-2</v>
      </c>
      <c r="T11" s="37">
        <v>102.52654</v>
      </c>
      <c r="U11" s="37">
        <v>155</v>
      </c>
      <c r="V11" s="37">
        <v>8</v>
      </c>
      <c r="W11" s="36"/>
      <c r="X11" s="37">
        <v>163</v>
      </c>
      <c r="Y11" s="38">
        <v>5.1612900000000003E-2</v>
      </c>
      <c r="Z11" s="37">
        <v>108.95316</v>
      </c>
      <c r="AA11" s="37">
        <v>838</v>
      </c>
      <c r="AB11" s="37">
        <v>7</v>
      </c>
      <c r="AC11" s="36">
        <v>369121.91622999997</v>
      </c>
      <c r="AD11" s="37">
        <v>845</v>
      </c>
      <c r="AE11" s="38">
        <v>8.3531999999999999E-3</v>
      </c>
      <c r="AF11" s="37">
        <v>113.90841</v>
      </c>
      <c r="AG11" s="37">
        <v>3392279</v>
      </c>
      <c r="AH11" s="37">
        <v>-144181</v>
      </c>
      <c r="AI11" s="36">
        <v>-1927245.15518</v>
      </c>
      <c r="AJ11" s="37">
        <v>3248098</v>
      </c>
      <c r="AK11" s="38">
        <v>-4.2502700000000004E-2</v>
      </c>
      <c r="AL11" s="37">
        <v>100</v>
      </c>
      <c r="AM11" s="36">
        <v>-1758397.1050499999</v>
      </c>
      <c r="AN11" s="38">
        <v>-3.1298699999999999E-2</v>
      </c>
      <c r="AO11" s="36">
        <v>-1200641.1923499999</v>
      </c>
      <c r="AP11" s="38">
        <v>-2.7981699999999998E-2</v>
      </c>
      <c r="AQ11" s="36">
        <v>-579568.30793000001</v>
      </c>
      <c r="AR11" s="38">
        <v>-4.3768900000000006E-2</v>
      </c>
      <c r="AS11" s="36">
        <v>0</v>
      </c>
      <c r="AT11" s="36">
        <v>0</v>
      </c>
      <c r="AU11" s="36">
        <v>0</v>
      </c>
      <c r="AV11" s="36">
        <v>0</v>
      </c>
      <c r="AW11" s="36">
        <v>0</v>
      </c>
      <c r="AX11" s="36">
        <v>0</v>
      </c>
      <c r="AY11" s="36">
        <v>60800</v>
      </c>
      <c r="AZ11" s="36">
        <v>-60800</v>
      </c>
      <c r="BA11" s="36">
        <v>-60800</v>
      </c>
      <c r="BB11" s="36">
        <v>-7087430.30045</v>
      </c>
      <c r="BC11" s="34">
        <v>-0.12029579999999999</v>
      </c>
      <c r="BD11" s="36">
        <v>-5639925.2026500003</v>
      </c>
      <c r="BE11" s="34">
        <v>-0.1248113</v>
      </c>
      <c r="BF11" s="36">
        <v>-1437902.4703200001</v>
      </c>
      <c r="BG11" s="34">
        <v>-0.10509539999999999</v>
      </c>
      <c r="BH11" s="34">
        <v>0.36908999999999997</v>
      </c>
      <c r="BI11" s="35">
        <v>8.6630000000000003</v>
      </c>
      <c r="BJ11" s="36"/>
      <c r="BK11" s="34">
        <v>0.45572000000000001</v>
      </c>
      <c r="BL11" s="35">
        <v>8.6630000000000003</v>
      </c>
      <c r="BM11" s="37"/>
      <c r="BN11" s="39">
        <v>1.0358000000000001</v>
      </c>
      <c r="BO11" s="39">
        <v>-9.7599999999999996E-3</v>
      </c>
      <c r="BP11" s="36">
        <v>-420272.89782999997</v>
      </c>
      <c r="BQ11" s="39">
        <v>1.0260400000000001</v>
      </c>
      <c r="BR11" s="38">
        <v>-9.4266000000000003E-3</v>
      </c>
      <c r="BS11" s="37">
        <v>100.29729</v>
      </c>
      <c r="BT11" s="36">
        <v>5496509</v>
      </c>
      <c r="BU11" s="36">
        <v>1786454</v>
      </c>
      <c r="BV11" s="36"/>
      <c r="BW11" s="36">
        <v>4633144</v>
      </c>
      <c r="BX11" s="36">
        <v>1179458</v>
      </c>
      <c r="BY11" s="36"/>
      <c r="BZ11" s="36">
        <v>5812602</v>
      </c>
      <c r="CA11" s="34">
        <v>0.25456970000000001</v>
      </c>
      <c r="CB11" s="37"/>
      <c r="CC11" s="36">
        <v>863365</v>
      </c>
      <c r="CD11" s="36">
        <v>606996</v>
      </c>
      <c r="CE11" s="36"/>
      <c r="CF11" s="36">
        <v>1470361</v>
      </c>
      <c r="CG11" s="34">
        <v>0.70305840000000008</v>
      </c>
      <c r="CH11" s="37"/>
      <c r="CI11" s="36">
        <v>7282963</v>
      </c>
      <c r="CJ11" s="34">
        <v>0.32501609999999997</v>
      </c>
      <c r="CK11" s="37"/>
      <c r="CL11" s="36">
        <v>4771.2751699999999</v>
      </c>
      <c r="CM11" s="36">
        <v>1651.09079</v>
      </c>
      <c r="CN11" s="36"/>
      <c r="CO11" s="36">
        <v>5337.7235000000001</v>
      </c>
      <c r="CP11" s="36">
        <v>1366.54639</v>
      </c>
      <c r="CQ11" s="36"/>
      <c r="CR11" s="36">
        <v>6704.2699000000002</v>
      </c>
      <c r="CS11" s="38">
        <v>0.25601669999999999</v>
      </c>
      <c r="CT11" s="37"/>
      <c r="CU11" s="36">
        <v>3040.0176099999999</v>
      </c>
      <c r="CV11" s="36">
        <v>2466.9524299999998</v>
      </c>
      <c r="CW11" s="36"/>
      <c r="CX11" s="36">
        <v>5506.9700400000002</v>
      </c>
      <c r="CY11" s="38">
        <v>0.81149280000000001</v>
      </c>
      <c r="CZ11" s="37"/>
      <c r="DA11" s="36">
        <v>6422.3659600000001</v>
      </c>
      <c r="DB11" s="38">
        <v>0.34604810000000003</v>
      </c>
      <c r="DC11" s="37"/>
      <c r="DD11" s="36">
        <v>336014.63013000001</v>
      </c>
      <c r="DE11" s="36">
        <v>5954.7816300000004</v>
      </c>
      <c r="DF11" s="36"/>
      <c r="DG11" s="36">
        <v>341969.41175000003</v>
      </c>
      <c r="DH11" s="38">
        <v>1.7721799999999999E-2</v>
      </c>
      <c r="DI11" s="37"/>
      <c r="DJ11" s="36">
        <v>206069.57419000001</v>
      </c>
      <c r="DK11" s="36">
        <v>-24576.76902</v>
      </c>
      <c r="DL11" s="36"/>
      <c r="DM11" s="36">
        <v>181492.80517000001</v>
      </c>
      <c r="DN11" s="38">
        <v>-0.11926439999999999</v>
      </c>
      <c r="DO11" s="37"/>
      <c r="DP11" s="36">
        <v>303979.56425</v>
      </c>
      <c r="DQ11" s="36">
        <v>205.67293000000001</v>
      </c>
      <c r="DR11" s="36"/>
      <c r="DS11" s="36">
        <v>304185.23719000001</v>
      </c>
      <c r="DT11" s="38">
        <v>6.7659999999999997E-4</v>
      </c>
      <c r="DU11" s="37"/>
      <c r="DV11" s="36">
        <v>5528.8114599999999</v>
      </c>
      <c r="DW11" s="36">
        <v>1350.00748</v>
      </c>
      <c r="DX11" s="36"/>
      <c r="DY11" s="36">
        <v>6878.8189300000004</v>
      </c>
      <c r="DZ11" s="34">
        <v>0.2441768</v>
      </c>
      <c r="EA11" s="37"/>
      <c r="EB11" s="36">
        <v>348043.79350000003</v>
      </c>
      <c r="EC11" s="36">
        <v>2828.96389</v>
      </c>
      <c r="ED11" s="36"/>
      <c r="EE11" s="36">
        <v>350872.75738000002</v>
      </c>
      <c r="EF11" s="38">
        <v>8.1282000000000004E-3</v>
      </c>
      <c r="EG11" s="37"/>
      <c r="EH11" s="36">
        <v>291660698.94999999</v>
      </c>
      <c r="EI11" s="36">
        <v>4826781.04</v>
      </c>
      <c r="EJ11" s="36"/>
      <c r="EK11" s="36">
        <v>296487479.99000001</v>
      </c>
      <c r="EL11" s="38">
        <v>1.6549299999999999E-2</v>
      </c>
      <c r="EM11" s="37"/>
      <c r="EN11" s="36">
        <v>58523759.07</v>
      </c>
      <c r="EO11" s="36">
        <v>-10065180.09</v>
      </c>
      <c r="EP11" s="36"/>
      <c r="EQ11" s="36">
        <v>48458578.979999997</v>
      </c>
      <c r="ER11" s="38">
        <v>-0.17198450000000001</v>
      </c>
      <c r="ES11" s="37"/>
      <c r="ET11" s="36">
        <v>350184458.01999998</v>
      </c>
      <c r="EU11" s="36">
        <v>-5238399.05</v>
      </c>
      <c r="EV11" s="36"/>
      <c r="EW11" s="36">
        <v>344946058.97000003</v>
      </c>
      <c r="EX11" s="38">
        <v>-1.4959E-2</v>
      </c>
      <c r="EY11" s="37"/>
      <c r="EZ11" s="36">
        <v>54702.053699999997</v>
      </c>
      <c r="FA11" s="36">
        <v>-3887.5531099999998</v>
      </c>
      <c r="FB11" s="36">
        <v>-3271189.9162300001</v>
      </c>
      <c r="FC11" s="36">
        <v>50814.500590000003</v>
      </c>
      <c r="FD11" s="38">
        <v>-7.10678E-2</v>
      </c>
      <c r="FE11" s="37">
        <v>80.977140000000006</v>
      </c>
      <c r="FF11" s="36">
        <v>55315.424760000002</v>
      </c>
      <c r="FG11" s="36">
        <v>-5595.3229899999997</v>
      </c>
      <c r="FH11" s="36">
        <v>49720.101779999997</v>
      </c>
      <c r="FI11" s="38">
        <v>-0.10115299999999999</v>
      </c>
      <c r="FJ11" s="37">
        <v>81.347139999999996</v>
      </c>
      <c r="FK11" s="36">
        <v>52817.243920000001</v>
      </c>
      <c r="FL11" s="36">
        <v>-3509.9123500000001</v>
      </c>
      <c r="FM11" s="36">
        <v>-4012108.9227700001</v>
      </c>
      <c r="FN11" s="36">
        <v>49307.331570000002</v>
      </c>
      <c r="FO11" s="38">
        <v>-6.6453899999999996E-2</v>
      </c>
      <c r="FP11" s="37">
        <v>79.306259999999995</v>
      </c>
      <c r="FQ11" s="36">
        <v>52811.42972</v>
      </c>
      <c r="FR11" s="36">
        <v>-3286.3397599999998</v>
      </c>
      <c r="FS11" s="36">
        <v>-2850917.0183999999</v>
      </c>
      <c r="FT11" s="36">
        <v>49525.089970000001</v>
      </c>
      <c r="FU11" s="38">
        <v>-6.22278E-2</v>
      </c>
      <c r="FV11" s="37">
        <v>80.737120000000004</v>
      </c>
      <c r="FW11" s="36">
        <v>52835.014080000001</v>
      </c>
      <c r="FX11" s="36">
        <v>-4234.7856199999997</v>
      </c>
      <c r="FY11" s="36">
        <v>-1166814.32091</v>
      </c>
      <c r="FZ11" s="36">
        <v>48600.228459999998</v>
      </c>
      <c r="GA11" s="38">
        <v>-8.0151100000000003E-2</v>
      </c>
      <c r="GB11" s="37">
        <v>73.49342</v>
      </c>
      <c r="GC11" s="37">
        <v>5</v>
      </c>
      <c r="GD11" s="37">
        <v>1</v>
      </c>
      <c r="GE11" s="36"/>
      <c r="GF11" s="37">
        <v>6</v>
      </c>
      <c r="GG11" s="38">
        <v>0.2</v>
      </c>
      <c r="GH11" s="37"/>
      <c r="GI11" s="37">
        <v>5</v>
      </c>
      <c r="GJ11" s="37">
        <v>1</v>
      </c>
      <c r="GK11" s="36"/>
      <c r="GL11" s="37">
        <v>6</v>
      </c>
      <c r="GM11" s="38">
        <v>0.2</v>
      </c>
      <c r="GN11" s="37"/>
      <c r="GO11" s="37">
        <v>5</v>
      </c>
      <c r="GP11" s="37">
        <v>1</v>
      </c>
      <c r="GQ11" s="36"/>
      <c r="GR11" s="37">
        <v>6</v>
      </c>
      <c r="GS11" s="38">
        <v>0.2</v>
      </c>
      <c r="GT11" s="37"/>
      <c r="GU11" s="34">
        <v>1.3949E-2</v>
      </c>
      <c r="GV11" s="35">
        <v>-0.13775999999999999</v>
      </c>
      <c r="GW11" s="36"/>
      <c r="GX11" s="34">
        <v>1.25714E-2</v>
      </c>
      <c r="GY11" s="35">
        <v>-0.13775999999999999</v>
      </c>
      <c r="GZ11" s="37"/>
      <c r="HA11" s="34">
        <v>1.23532E-2</v>
      </c>
      <c r="HB11" s="35">
        <v>-9.5860000000000001E-2</v>
      </c>
      <c r="HC11" s="36"/>
      <c r="HD11" s="34">
        <v>1.13946E-2</v>
      </c>
      <c r="HE11" s="35">
        <v>-9.5860000000000001E-2</v>
      </c>
      <c r="HF11" s="37"/>
      <c r="HG11" s="34">
        <v>2.3042300000000002E-2</v>
      </c>
      <c r="HH11" s="35">
        <v>-0.39446999999999999</v>
      </c>
      <c r="HI11" s="36"/>
      <c r="HJ11" s="34">
        <v>1.9097599999999999E-2</v>
      </c>
      <c r="HK11" s="35">
        <v>-0.39446999999999999</v>
      </c>
      <c r="HL11" s="37"/>
      <c r="HM11" s="34">
        <v>2.2600999999999997E-3</v>
      </c>
      <c r="HN11" s="35">
        <v>4.5679999999999998E-2</v>
      </c>
      <c r="HO11" s="36"/>
      <c r="HP11" s="34">
        <v>2.7167999999999997E-3</v>
      </c>
      <c r="HQ11" s="35">
        <v>4.5679999999999998E-2</v>
      </c>
      <c r="HR11" s="37"/>
      <c r="HS11" s="34">
        <v>2.0471E-3</v>
      </c>
      <c r="HT11" s="35">
        <v>4.5699999999999998E-2</v>
      </c>
      <c r="HU11" s="36"/>
      <c r="HV11" s="34">
        <v>2.5041000000000004E-3</v>
      </c>
      <c r="HW11" s="35">
        <v>4.5699999999999998E-2</v>
      </c>
      <c r="HX11" s="37"/>
      <c r="HY11" s="34">
        <v>3.2745000000000001E-3</v>
      </c>
      <c r="HZ11" s="35">
        <v>5.0439999999999999E-2</v>
      </c>
      <c r="IA11" s="36"/>
      <c r="IB11" s="34">
        <v>3.7788000000000001E-3</v>
      </c>
      <c r="IC11" s="35">
        <v>5.0439999999999999E-2</v>
      </c>
      <c r="ID11" s="37"/>
      <c r="IE11" s="34">
        <v>6.1699999999999995E-5</v>
      </c>
      <c r="IF11" s="35">
        <v>5.5999999999999995E-4</v>
      </c>
      <c r="IG11" s="36">
        <v>5106401.0047000004</v>
      </c>
      <c r="IH11" s="34">
        <v>6.7299999999999996E-5</v>
      </c>
      <c r="II11" s="35">
        <v>5.5999999999999995E-4</v>
      </c>
      <c r="IJ11" s="37">
        <v>113.56679</v>
      </c>
      <c r="IK11" s="34">
        <v>7.3700000000000002E-5</v>
      </c>
      <c r="IL11" s="35">
        <v>6.3000000000000003E-4</v>
      </c>
      <c r="IM11" s="36">
        <v>0</v>
      </c>
      <c r="IN11" s="34">
        <v>8.0000000000000007E-5</v>
      </c>
      <c r="IO11" s="35">
        <v>6.3000000000000003E-4</v>
      </c>
      <c r="IP11" s="37">
        <v>114.30226999999999</v>
      </c>
      <c r="IQ11" s="34">
        <v>4.1099999999999996E-5</v>
      </c>
      <c r="IR11" s="35">
        <v>3.3E-4</v>
      </c>
      <c r="IS11" s="36">
        <v>1083570.8177799999</v>
      </c>
      <c r="IT11" s="34">
        <v>4.4400000000000002E-5</v>
      </c>
      <c r="IU11" s="35">
        <v>3.3E-4</v>
      </c>
      <c r="IV11" s="37">
        <v>112.73244</v>
      </c>
      <c r="IW11" s="34">
        <v>2.9545000000000001E-3</v>
      </c>
      <c r="IX11" s="35">
        <v>4.1090000000000002E-2</v>
      </c>
      <c r="IY11" s="36"/>
      <c r="IZ11" s="34">
        <v>3.3655E-3</v>
      </c>
      <c r="JA11" s="35">
        <v>4.1090000000000002E-2</v>
      </c>
      <c r="JB11" s="37"/>
      <c r="JC11" s="34">
        <v>6.7269999999999993E-4</v>
      </c>
      <c r="JD11" s="35">
        <v>2.5300000000000001E-3</v>
      </c>
      <c r="JE11" s="36"/>
      <c r="JF11" s="34">
        <v>6.981E-4</v>
      </c>
      <c r="JG11" s="35">
        <v>2.5300000000000001E-3</v>
      </c>
      <c r="JH11" s="37">
        <v>109.32317</v>
      </c>
      <c r="JI11" s="34">
        <v>2.4699999999999999E-4</v>
      </c>
      <c r="JJ11" s="35">
        <v>1.31E-3</v>
      </c>
      <c r="JK11" s="36">
        <v>2296367.0714199999</v>
      </c>
      <c r="JL11" s="34">
        <v>2.6020000000000004E-4</v>
      </c>
      <c r="JM11" s="35">
        <v>1.31E-3</v>
      </c>
      <c r="JN11" s="37">
        <v>113.94385</v>
      </c>
      <c r="JO11" s="36">
        <v>46768.228289999999</v>
      </c>
      <c r="JP11" s="36">
        <v>-6221.0825299999997</v>
      </c>
      <c r="JQ11" s="36">
        <v>-8328127.41218</v>
      </c>
      <c r="JR11" s="36">
        <v>40547.145759999999</v>
      </c>
      <c r="JS11" s="38">
        <v>-0.13301940000000001</v>
      </c>
      <c r="JT11" s="37">
        <v>74.971950000000007</v>
      </c>
      <c r="JU11" s="36">
        <v>47063.984600000003</v>
      </c>
      <c r="JV11" s="36">
        <v>-6517.9477699999998</v>
      </c>
      <c r="JW11" s="36">
        <v>-6614753.8590599997</v>
      </c>
      <c r="JX11" s="36">
        <v>40546.036829999997</v>
      </c>
      <c r="JY11" s="38">
        <v>-0.13849119999999998</v>
      </c>
      <c r="JZ11" s="37">
        <v>75.406040000000004</v>
      </c>
      <c r="KA11" s="36">
        <v>45887.290520000002</v>
      </c>
      <c r="KB11" s="36">
        <v>-5336.4748900000004</v>
      </c>
      <c r="KC11" s="36">
        <v>-1726667.0439800001</v>
      </c>
      <c r="KD11" s="36">
        <v>40550.815629999997</v>
      </c>
      <c r="KE11" s="38">
        <v>-0.1162953</v>
      </c>
      <c r="KF11" s="37">
        <v>71.817809999999994</v>
      </c>
      <c r="KG11" s="37">
        <v>4</v>
      </c>
      <c r="KH11" s="37">
        <v>0</v>
      </c>
      <c r="KI11" s="36"/>
      <c r="KJ11" s="37">
        <v>4</v>
      </c>
      <c r="KK11" s="38">
        <v>0</v>
      </c>
      <c r="KL11" s="37">
        <v>100</v>
      </c>
      <c r="KM11" s="37">
        <v>4</v>
      </c>
      <c r="KN11" s="37">
        <v>0</v>
      </c>
      <c r="KO11" s="36"/>
      <c r="KP11" s="37">
        <v>4</v>
      </c>
      <c r="KQ11" s="38">
        <v>0</v>
      </c>
      <c r="KR11" s="37">
        <v>100</v>
      </c>
      <c r="KS11" s="37">
        <v>4</v>
      </c>
      <c r="KT11" s="37">
        <v>0</v>
      </c>
      <c r="KU11" s="36"/>
      <c r="KV11" s="37">
        <v>4</v>
      </c>
      <c r="KW11" s="38">
        <v>0</v>
      </c>
      <c r="KX11" s="37">
        <v>100</v>
      </c>
      <c r="KY11" s="37">
        <v>1301</v>
      </c>
      <c r="KZ11" s="37">
        <v>78</v>
      </c>
      <c r="LA11" s="37">
        <v>1379</v>
      </c>
      <c r="LB11" s="38">
        <v>5.9953900000000004E-2</v>
      </c>
      <c r="LC11" s="37">
        <v>120.2099</v>
      </c>
      <c r="LD11" s="37">
        <v>974</v>
      </c>
      <c r="LE11" s="37">
        <v>85</v>
      </c>
      <c r="LF11" s="37">
        <v>1059</v>
      </c>
      <c r="LG11" s="38">
        <v>8.7268999999999999E-2</v>
      </c>
      <c r="LH11" s="37">
        <v>122.32413</v>
      </c>
      <c r="LI11" s="37">
        <v>327</v>
      </c>
      <c r="LJ11" s="37">
        <v>-7</v>
      </c>
      <c r="LK11" s="37">
        <v>320</v>
      </c>
      <c r="LL11" s="38">
        <v>-2.1406700000000001E-2</v>
      </c>
      <c r="LM11" s="37">
        <v>115.40379</v>
      </c>
      <c r="LN11" s="39">
        <v>1.16229</v>
      </c>
      <c r="LO11" s="39">
        <v>9.0959999999999999E-2</v>
      </c>
      <c r="LP11" s="39">
        <v>1.25325</v>
      </c>
      <c r="LQ11" s="38">
        <v>7.8261999999999998E-2</v>
      </c>
      <c r="LR11" s="37">
        <v>107.38813</v>
      </c>
      <c r="LS11" s="39">
        <v>1.12212</v>
      </c>
      <c r="LT11" s="39">
        <v>9.9330000000000002E-2</v>
      </c>
      <c r="LU11" s="36">
        <v>3763836.8406600002</v>
      </c>
      <c r="LV11" s="39">
        <v>1.2214499999999999</v>
      </c>
      <c r="LW11" s="38">
        <v>8.8523099999999993E-2</v>
      </c>
      <c r="LX11" s="37">
        <v>107.06984</v>
      </c>
      <c r="LY11" s="39">
        <v>1.12934</v>
      </c>
      <c r="LZ11" s="39">
        <v>8.6709999999999995E-2</v>
      </c>
      <c r="MA11" s="36">
        <v>4316018.4894099999</v>
      </c>
      <c r="MB11" s="39">
        <v>1.2160500000000001</v>
      </c>
      <c r="MC11" s="38">
        <v>7.67785E-2</v>
      </c>
      <c r="MD11" s="37">
        <v>105.78126</v>
      </c>
      <c r="ME11" s="39">
        <v>1.15141</v>
      </c>
      <c r="MF11" s="39">
        <v>4.709E-2</v>
      </c>
      <c r="MG11" s="36">
        <v>559852.72308000003</v>
      </c>
      <c r="MH11" s="39">
        <v>1.1984999999999999</v>
      </c>
      <c r="MI11" s="38">
        <v>4.0900699999999998E-2</v>
      </c>
      <c r="MJ11" s="37">
        <v>102.33314</v>
      </c>
      <c r="MK11" s="36">
        <v>5817395</v>
      </c>
      <c r="ML11" s="36">
        <v>5817395</v>
      </c>
      <c r="MM11" s="36">
        <v>5817395</v>
      </c>
      <c r="MN11" s="36">
        <v>3981955</v>
      </c>
      <c r="MO11" s="36">
        <v>3981955</v>
      </c>
      <c r="MP11" s="36">
        <v>3981955</v>
      </c>
      <c r="MQ11" s="36">
        <v>1835440</v>
      </c>
      <c r="MR11" s="36">
        <v>1835440</v>
      </c>
      <c r="MS11" s="36">
        <v>1835440</v>
      </c>
      <c r="MT11" s="37">
        <v>1301</v>
      </c>
      <c r="MU11" s="37">
        <v>-44</v>
      </c>
      <c r="MV11" s="36">
        <v>-1902518.5944999999</v>
      </c>
      <c r="MW11" s="37">
        <v>1257</v>
      </c>
      <c r="MX11" s="38">
        <v>-3.3820099999999999E-2</v>
      </c>
      <c r="MY11" s="37">
        <v>974</v>
      </c>
      <c r="MZ11" s="37">
        <v>-1</v>
      </c>
      <c r="NA11" s="36">
        <v>-43456.60499</v>
      </c>
      <c r="NB11" s="37">
        <v>973</v>
      </c>
      <c r="NC11" s="38">
        <v>-1.0267E-3</v>
      </c>
      <c r="ND11" s="37">
        <v>326</v>
      </c>
      <c r="NE11" s="37">
        <v>-42</v>
      </c>
      <c r="NF11" s="36">
        <v>-1786052.2217399999</v>
      </c>
      <c r="NG11" s="37">
        <v>284</v>
      </c>
      <c r="NH11" s="38">
        <v>-0.12883440000000002</v>
      </c>
      <c r="NI11" s="36">
        <v>60845465</v>
      </c>
      <c r="NJ11" s="36">
        <v>-4930951</v>
      </c>
      <c r="NK11" s="36">
        <v>-4930951</v>
      </c>
      <c r="NL11" s="36">
        <v>55914514</v>
      </c>
      <c r="NM11" s="38">
        <v>-8.1040600000000004E-2</v>
      </c>
      <c r="NN11" s="37">
        <v>90.123699999999999</v>
      </c>
      <c r="NO11" s="36">
        <v>45840321</v>
      </c>
      <c r="NP11" s="36">
        <v>-2902068</v>
      </c>
      <c r="NQ11" s="36">
        <v>-2902068</v>
      </c>
      <c r="NR11" s="36">
        <v>42938253</v>
      </c>
      <c r="NS11" s="38">
        <v>-6.3308199999999995E-2</v>
      </c>
      <c r="NT11" s="37">
        <v>92.239779999999996</v>
      </c>
      <c r="NU11" s="36">
        <v>15005144</v>
      </c>
      <c r="NV11" s="36">
        <v>-2028883</v>
      </c>
      <c r="NW11" s="36">
        <v>-2028883</v>
      </c>
      <c r="NX11" s="36">
        <v>12976261</v>
      </c>
      <c r="NY11" s="38">
        <v>-0.13521250000000001</v>
      </c>
      <c r="NZ11" s="37">
        <v>82.880470000000003</v>
      </c>
      <c r="OA11" s="36">
        <v>392551.38709999999</v>
      </c>
      <c r="OB11" s="36">
        <v>-49517.558879999997</v>
      </c>
      <c r="OC11" s="36"/>
      <c r="OD11" s="36">
        <v>343033.82822000002</v>
      </c>
      <c r="OE11" s="38">
        <v>-0.1261429</v>
      </c>
      <c r="OF11" s="37">
        <v>82.717839999999995</v>
      </c>
      <c r="OG11" s="36">
        <v>329786.48200999998</v>
      </c>
      <c r="OH11" s="36">
        <v>-35688.85873</v>
      </c>
      <c r="OI11" s="36"/>
      <c r="OJ11" s="36">
        <v>294097.62329000002</v>
      </c>
      <c r="OK11" s="38">
        <v>-0.1082181</v>
      </c>
      <c r="OL11" s="37">
        <v>84.761039999999994</v>
      </c>
      <c r="OM11" s="36">
        <v>156303.58332999999</v>
      </c>
      <c r="ON11" s="36">
        <v>-19711.362280000001</v>
      </c>
      <c r="OO11" s="36"/>
      <c r="OP11" s="36">
        <v>136592.22104999999</v>
      </c>
      <c r="OQ11" s="38">
        <v>-0.12610950000000001</v>
      </c>
      <c r="OR11" s="37">
        <v>80.838059999999999</v>
      </c>
      <c r="OS11" s="39">
        <v>8.3935499999999994</v>
      </c>
      <c r="OT11" s="39">
        <v>6.6570000000000004E-2</v>
      </c>
      <c r="OU11" s="36"/>
      <c r="OV11" s="39">
        <v>8.4601199999999999</v>
      </c>
      <c r="OW11" s="38">
        <v>7.9316000000000005E-3</v>
      </c>
      <c r="OX11" s="37">
        <v>110.33172</v>
      </c>
      <c r="OY11" s="39">
        <v>7.0071899999999996</v>
      </c>
      <c r="OZ11" s="39">
        <v>0.24623</v>
      </c>
      <c r="PA11" s="36"/>
      <c r="PB11" s="39">
        <v>7.2534200000000002</v>
      </c>
      <c r="PC11" s="38">
        <v>3.5139700000000003E-2</v>
      </c>
      <c r="PD11" s="37">
        <v>112.40616</v>
      </c>
      <c r="PE11" s="39">
        <v>3.40625</v>
      </c>
      <c r="PF11" s="39">
        <v>-3.7830000000000003E-2</v>
      </c>
      <c r="PG11" s="36"/>
      <c r="PH11" s="39">
        <v>3.36842</v>
      </c>
      <c r="PI11" s="38">
        <v>-1.1105700000000001E-2</v>
      </c>
      <c r="PJ11" s="37">
        <v>112.55992000000001</v>
      </c>
      <c r="PK11" s="36">
        <v>92822.438689999995</v>
      </c>
      <c r="PL11" s="36">
        <v>-21612.405490000001</v>
      </c>
      <c r="PM11" s="36"/>
      <c r="PN11" s="36">
        <v>71210.033200000005</v>
      </c>
      <c r="PO11" s="38">
        <v>-0.23283599999999999</v>
      </c>
      <c r="PP11" s="37"/>
      <c r="PQ11" s="39">
        <v>1.9847300000000001</v>
      </c>
      <c r="PR11" s="39">
        <v>-0.22850000000000001</v>
      </c>
      <c r="PS11" s="36"/>
      <c r="PT11" s="39">
        <v>1.75623</v>
      </c>
      <c r="PU11" s="38">
        <v>-0.11513130000000001</v>
      </c>
      <c r="PV11" s="37"/>
      <c r="PW11" s="37">
        <v>1152</v>
      </c>
      <c r="PX11" s="37">
        <v>-18</v>
      </c>
      <c r="PY11" s="36">
        <v>-918842.07723000005</v>
      </c>
      <c r="PZ11" s="37">
        <v>1134</v>
      </c>
      <c r="QA11" s="38">
        <v>-1.5625E-2</v>
      </c>
      <c r="QB11" s="37">
        <v>113.64008</v>
      </c>
      <c r="QC11" s="37">
        <v>868</v>
      </c>
      <c r="QD11" s="37">
        <v>-1</v>
      </c>
      <c r="QE11" s="36">
        <v>0</v>
      </c>
      <c r="QF11" s="37">
        <v>867</v>
      </c>
      <c r="QG11" s="38">
        <v>-1.1521000000000001E-3</v>
      </c>
      <c r="QH11" s="37">
        <v>114.24705</v>
      </c>
      <c r="QI11" s="37">
        <v>284</v>
      </c>
      <c r="QJ11" s="37">
        <v>-17</v>
      </c>
      <c r="QK11" s="36">
        <v>-862068.67908999999</v>
      </c>
      <c r="QL11" s="37">
        <v>267</v>
      </c>
      <c r="QM11" s="38">
        <v>-5.9859200000000001E-2</v>
      </c>
      <c r="QN11" s="37">
        <v>112.77264</v>
      </c>
      <c r="QO11" s="37">
        <v>18685753</v>
      </c>
      <c r="QP11" s="37">
        <v>-1833361</v>
      </c>
      <c r="QQ11" s="36">
        <v>-6025243.0819399999</v>
      </c>
      <c r="QR11" s="37">
        <v>16852392</v>
      </c>
      <c r="QS11" s="38">
        <v>-9.8115400000000005E-2</v>
      </c>
      <c r="QT11" s="37">
        <v>100</v>
      </c>
      <c r="QU11" s="37">
        <v>11772767</v>
      </c>
      <c r="QV11" s="37">
        <v>-934378</v>
      </c>
      <c r="QW11" s="36">
        <v>0</v>
      </c>
      <c r="QX11" s="37">
        <v>10838389</v>
      </c>
      <c r="QY11" s="38">
        <v>-7.9367699999999999E-2</v>
      </c>
      <c r="QZ11" s="37">
        <v>100</v>
      </c>
      <c r="RA11" s="37">
        <v>6912986</v>
      </c>
      <c r="RB11" s="37">
        <v>-898983</v>
      </c>
      <c r="RC11" s="36">
        <v>-1945639.4968699999</v>
      </c>
      <c r="RD11" s="37">
        <v>6014003</v>
      </c>
      <c r="RE11" s="38">
        <v>-0.13004260000000001</v>
      </c>
      <c r="RF11" s="37">
        <v>100</v>
      </c>
    </row>
    <row r="12" spans="1:474" x14ac:dyDescent="0.25">
      <c r="A12" s="1" t="s">
        <v>505</v>
      </c>
      <c r="B12" s="1" t="s">
        <v>516</v>
      </c>
      <c r="C12" s="34">
        <v>1.8231500000000001E-2</v>
      </c>
      <c r="D12" s="35">
        <v>0.52561999999999998</v>
      </c>
      <c r="E12" s="36"/>
      <c r="F12" s="34">
        <v>2.34878E-2</v>
      </c>
      <c r="G12" s="35">
        <v>0.52561999999999998</v>
      </c>
      <c r="H12" s="37">
        <v>140.64186000000001</v>
      </c>
      <c r="I12" s="37">
        <v>334</v>
      </c>
      <c r="J12" s="37">
        <v>-34</v>
      </c>
      <c r="K12" s="36">
        <v>0</v>
      </c>
      <c r="L12" s="37">
        <v>300</v>
      </c>
      <c r="M12" s="38">
        <v>-0.1017964</v>
      </c>
      <c r="N12" s="37">
        <v>93.059070000000006</v>
      </c>
      <c r="O12" s="37">
        <v>287</v>
      </c>
      <c r="P12" s="37">
        <v>-25</v>
      </c>
      <c r="Q12" s="36"/>
      <c r="R12" s="37">
        <v>262</v>
      </c>
      <c r="S12" s="38">
        <v>-8.7108000000000005E-2</v>
      </c>
      <c r="T12" s="37">
        <v>94.580879999999993</v>
      </c>
      <c r="U12" s="37">
        <v>348</v>
      </c>
      <c r="V12" s="37">
        <v>-37</v>
      </c>
      <c r="W12" s="36"/>
      <c r="X12" s="37">
        <v>311</v>
      </c>
      <c r="Y12" s="38">
        <v>-0.10632179999999999</v>
      </c>
      <c r="Z12" s="37">
        <v>92.590209999999999</v>
      </c>
      <c r="AA12" s="37">
        <v>3291</v>
      </c>
      <c r="AB12" s="37">
        <v>-183</v>
      </c>
      <c r="AC12" s="36">
        <v>-1962124.9350099999</v>
      </c>
      <c r="AD12" s="37">
        <v>3108</v>
      </c>
      <c r="AE12" s="38">
        <v>-5.5606200000000001E-2</v>
      </c>
      <c r="AF12" s="37">
        <v>106.68325</v>
      </c>
      <c r="AG12" s="37">
        <v>3392279</v>
      </c>
      <c r="AH12" s="37">
        <v>-144181</v>
      </c>
      <c r="AI12" s="36">
        <v>-1489542.1514099999</v>
      </c>
      <c r="AJ12" s="37">
        <v>3248098</v>
      </c>
      <c r="AK12" s="38">
        <v>-4.2502700000000004E-2</v>
      </c>
      <c r="AL12" s="37">
        <v>100</v>
      </c>
      <c r="AM12" s="36">
        <v>2244271.1040699999</v>
      </c>
      <c r="AN12" s="38">
        <v>5.3659900000000003E-2</v>
      </c>
      <c r="AO12" s="36">
        <v>2044325.42089</v>
      </c>
      <c r="AP12" s="38">
        <v>6.1421299999999998E-2</v>
      </c>
      <c r="AQ12" s="36">
        <v>188612.47944</v>
      </c>
      <c r="AR12" s="38">
        <v>2.2069600000000002E-2</v>
      </c>
      <c r="AS12" s="36">
        <v>5275</v>
      </c>
      <c r="AT12" s="36">
        <v>-5275</v>
      </c>
      <c r="AU12" s="36">
        <v>-5275</v>
      </c>
      <c r="AV12" s="36">
        <v>0</v>
      </c>
      <c r="AW12" s="36">
        <v>0</v>
      </c>
      <c r="AX12" s="36">
        <v>0</v>
      </c>
      <c r="AY12" s="36">
        <v>5275</v>
      </c>
      <c r="AZ12" s="36">
        <v>-5275</v>
      </c>
      <c r="BA12" s="36">
        <v>-5275</v>
      </c>
      <c r="BB12" s="36">
        <v>5507477.6137199998</v>
      </c>
      <c r="BC12" s="34">
        <v>0.1368607</v>
      </c>
      <c r="BD12" s="36">
        <v>4180655.9917299999</v>
      </c>
      <c r="BE12" s="34">
        <v>0.1296416</v>
      </c>
      <c r="BF12" s="36">
        <v>1336894.2425200001</v>
      </c>
      <c r="BG12" s="34">
        <v>0.16734179999999999</v>
      </c>
      <c r="BH12" s="34">
        <v>0.86117999999999995</v>
      </c>
      <c r="BI12" s="35">
        <v>3.3090000000000002</v>
      </c>
      <c r="BJ12" s="36"/>
      <c r="BK12" s="34">
        <v>0.89427000000000012</v>
      </c>
      <c r="BL12" s="35">
        <v>3.3090000000000002</v>
      </c>
      <c r="BM12" s="37"/>
      <c r="BN12" s="39">
        <v>1.01884</v>
      </c>
      <c r="BO12" s="39">
        <v>6.2599999999999999E-3</v>
      </c>
      <c r="BP12" s="36">
        <v>209984.86869999999</v>
      </c>
      <c r="BQ12" s="39">
        <v>1.0250999999999999</v>
      </c>
      <c r="BR12" s="38">
        <v>6.1416000000000005E-3</v>
      </c>
      <c r="BS12" s="37">
        <v>101.87358</v>
      </c>
      <c r="BT12" s="36">
        <v>4099502</v>
      </c>
      <c r="BU12" s="36">
        <v>-163613</v>
      </c>
      <c r="BV12" s="36"/>
      <c r="BW12" s="36">
        <v>3387293</v>
      </c>
      <c r="BX12" s="36">
        <v>70327</v>
      </c>
      <c r="BY12" s="36"/>
      <c r="BZ12" s="36">
        <v>3457620</v>
      </c>
      <c r="CA12" s="34">
        <v>2.0761999999999999E-2</v>
      </c>
      <c r="CB12" s="37"/>
      <c r="CC12" s="36">
        <v>712209</v>
      </c>
      <c r="CD12" s="36">
        <v>-233940</v>
      </c>
      <c r="CE12" s="36"/>
      <c r="CF12" s="36">
        <v>478269</v>
      </c>
      <c r="CG12" s="34">
        <v>-0.32847099999999996</v>
      </c>
      <c r="CH12" s="37"/>
      <c r="CI12" s="36">
        <v>3935889</v>
      </c>
      <c r="CJ12" s="34">
        <v>-3.9910500000000002E-2</v>
      </c>
      <c r="CK12" s="37"/>
      <c r="CL12" s="36">
        <v>967.54827</v>
      </c>
      <c r="CM12" s="36">
        <v>19.63232</v>
      </c>
      <c r="CN12" s="36"/>
      <c r="CO12" s="36">
        <v>1010.22756</v>
      </c>
      <c r="CP12" s="36">
        <v>75.026679999999999</v>
      </c>
      <c r="CQ12" s="36"/>
      <c r="CR12" s="36">
        <v>1085.25424</v>
      </c>
      <c r="CS12" s="38">
        <v>7.4267100000000003E-2</v>
      </c>
      <c r="CT12" s="37"/>
      <c r="CU12" s="36">
        <v>805.66629</v>
      </c>
      <c r="CV12" s="36">
        <v>-208.57640000000001</v>
      </c>
      <c r="CW12" s="36"/>
      <c r="CX12" s="36">
        <v>597.08988999999997</v>
      </c>
      <c r="CY12" s="38">
        <v>-0.25888680000000003</v>
      </c>
      <c r="CZ12" s="37"/>
      <c r="DA12" s="36">
        <v>987.18059000000005</v>
      </c>
      <c r="DB12" s="38">
        <v>2.0290800000000001E-2</v>
      </c>
      <c r="DC12" s="37"/>
      <c r="DD12" s="36">
        <v>265744.13046999997</v>
      </c>
      <c r="DE12" s="36">
        <v>40453.021419999997</v>
      </c>
      <c r="DF12" s="36"/>
      <c r="DG12" s="36">
        <v>306197.15188999998</v>
      </c>
      <c r="DH12" s="38">
        <v>0.15222550000000001</v>
      </c>
      <c r="DI12" s="37"/>
      <c r="DJ12" s="36">
        <v>187777.74984999999</v>
      </c>
      <c r="DK12" s="36">
        <v>43624.598250000003</v>
      </c>
      <c r="DL12" s="36"/>
      <c r="DM12" s="36">
        <v>231402.3481</v>
      </c>
      <c r="DN12" s="38">
        <v>0.23232040000000001</v>
      </c>
      <c r="DO12" s="37"/>
      <c r="DP12" s="36">
        <v>249477.36614</v>
      </c>
      <c r="DQ12" s="36">
        <v>41693.290180000004</v>
      </c>
      <c r="DR12" s="36"/>
      <c r="DS12" s="36">
        <v>291170.65632000001</v>
      </c>
      <c r="DT12" s="38">
        <v>0.16712250000000001</v>
      </c>
      <c r="DU12" s="37"/>
      <c r="DV12" s="36">
        <v>1029.2594999999999</v>
      </c>
      <c r="DW12" s="36">
        <v>83.230850000000004</v>
      </c>
      <c r="DX12" s="36"/>
      <c r="DY12" s="36">
        <v>1112.49035</v>
      </c>
      <c r="DZ12" s="34">
        <v>8.0864800000000001E-2</v>
      </c>
      <c r="EA12" s="37"/>
      <c r="EB12" s="36">
        <v>270750.55287000001</v>
      </c>
      <c r="EC12" s="36">
        <v>43131.083530000004</v>
      </c>
      <c r="ED12" s="36"/>
      <c r="EE12" s="36">
        <v>313881.63640000002</v>
      </c>
      <c r="EF12" s="38">
        <v>0.1593019</v>
      </c>
      <c r="EG12" s="37"/>
      <c r="EH12" s="36">
        <v>891040069.48000002</v>
      </c>
      <c r="EI12" s="36">
        <v>84504056.450000003</v>
      </c>
      <c r="EJ12" s="36"/>
      <c r="EK12" s="36">
        <v>975544125.92999995</v>
      </c>
      <c r="EL12" s="38">
        <v>9.4837500000000005E-2</v>
      </c>
      <c r="EM12" s="37"/>
      <c r="EN12" s="36">
        <v>165995530.87</v>
      </c>
      <c r="EO12" s="36">
        <v>19357749.960000001</v>
      </c>
      <c r="EP12" s="36"/>
      <c r="EQ12" s="36">
        <v>185353280.83000001</v>
      </c>
      <c r="ER12" s="38">
        <v>0.1166161</v>
      </c>
      <c r="ES12" s="37"/>
      <c r="ET12" s="36">
        <v>1057035600.35</v>
      </c>
      <c r="EU12" s="36">
        <v>103861806.41</v>
      </c>
      <c r="EV12" s="36"/>
      <c r="EW12" s="36">
        <v>1160897406.76</v>
      </c>
      <c r="EX12" s="38">
        <v>9.82576E-2</v>
      </c>
      <c r="EY12" s="37"/>
      <c r="EZ12" s="36">
        <v>9817.8735899999992</v>
      </c>
      <c r="FA12" s="36">
        <v>1881.0948699999999</v>
      </c>
      <c r="FB12" s="36">
        <v>6011896.9350100001</v>
      </c>
      <c r="FC12" s="36">
        <v>11698.96847</v>
      </c>
      <c r="FD12" s="38">
        <v>0.19159899999999999</v>
      </c>
      <c r="FE12" s="37">
        <v>103.87441</v>
      </c>
      <c r="FF12" s="36">
        <v>9939.35</v>
      </c>
      <c r="FG12" s="36">
        <v>1878.3824</v>
      </c>
      <c r="FH12" s="36">
        <v>11817.732400000001</v>
      </c>
      <c r="FI12" s="38">
        <v>0.1889844</v>
      </c>
      <c r="FJ12" s="37">
        <v>107.60505999999999</v>
      </c>
      <c r="FK12" s="36">
        <v>9576.8557899999996</v>
      </c>
      <c r="FL12" s="36">
        <v>1807.8978999999999</v>
      </c>
      <c r="FM12" s="36">
        <v>7425277.3133199997</v>
      </c>
      <c r="FN12" s="36">
        <v>11384.753699999999</v>
      </c>
      <c r="FO12" s="38">
        <v>0.18877780000000002</v>
      </c>
      <c r="FP12" s="37">
        <v>100.98862</v>
      </c>
      <c r="FQ12" s="36">
        <v>9636.3322399999997</v>
      </c>
      <c r="FR12" s="36">
        <v>1776.2208000000001</v>
      </c>
      <c r="FS12" s="36">
        <v>5801912.0663000001</v>
      </c>
      <c r="FT12" s="36">
        <v>11412.553040000001</v>
      </c>
      <c r="FU12" s="38">
        <v>0.1843254</v>
      </c>
      <c r="FV12" s="37">
        <v>101.96402</v>
      </c>
      <c r="FW12" s="36">
        <v>9351.2624400000004</v>
      </c>
      <c r="FX12" s="36">
        <v>1922.91857</v>
      </c>
      <c r="FY12" s="36">
        <v>1616263.18683</v>
      </c>
      <c r="FZ12" s="36">
        <v>11274.18101</v>
      </c>
      <c r="GA12" s="38">
        <v>0.20563199999999998</v>
      </c>
      <c r="GB12" s="37">
        <v>96.326710000000006</v>
      </c>
      <c r="GC12" s="37">
        <v>6</v>
      </c>
      <c r="GD12" s="37">
        <v>-1</v>
      </c>
      <c r="GE12" s="36"/>
      <c r="GF12" s="37">
        <v>5</v>
      </c>
      <c r="GG12" s="38">
        <v>-0.1666667</v>
      </c>
      <c r="GH12" s="37"/>
      <c r="GI12" s="37">
        <v>6</v>
      </c>
      <c r="GJ12" s="37">
        <v>-1</v>
      </c>
      <c r="GK12" s="36"/>
      <c r="GL12" s="37">
        <v>5</v>
      </c>
      <c r="GM12" s="38">
        <v>-0.1666667</v>
      </c>
      <c r="GN12" s="37"/>
      <c r="GO12" s="37">
        <v>6</v>
      </c>
      <c r="GP12" s="37">
        <v>-1</v>
      </c>
      <c r="GQ12" s="36"/>
      <c r="GR12" s="37">
        <v>5</v>
      </c>
      <c r="GS12" s="38">
        <v>-0.1666667</v>
      </c>
      <c r="GT12" s="37"/>
      <c r="GU12" s="34">
        <v>9.3023999999999989E-3</v>
      </c>
      <c r="GV12" s="35">
        <v>9.0289999999999995E-2</v>
      </c>
      <c r="GW12" s="36"/>
      <c r="GX12" s="34">
        <v>1.0205299999999999E-2</v>
      </c>
      <c r="GY12" s="35">
        <v>9.0289999999999995E-2</v>
      </c>
      <c r="GZ12" s="37"/>
      <c r="HA12" s="34">
        <v>8.7072E-3</v>
      </c>
      <c r="HB12" s="35">
        <v>9.418E-2</v>
      </c>
      <c r="HC12" s="36"/>
      <c r="HD12" s="34">
        <v>9.6489999999999996E-3</v>
      </c>
      <c r="HE12" s="35">
        <v>9.418E-2</v>
      </c>
      <c r="HF12" s="37"/>
      <c r="HG12" s="34">
        <v>1.26943E-2</v>
      </c>
      <c r="HH12" s="35">
        <v>5.9639999999999999E-2</v>
      </c>
      <c r="HI12" s="36"/>
      <c r="HJ12" s="34">
        <v>1.3290699999999999E-2</v>
      </c>
      <c r="HK12" s="35">
        <v>5.9639999999999999E-2</v>
      </c>
      <c r="HL12" s="37"/>
      <c r="HM12" s="34">
        <v>7.7112999999999999E-3</v>
      </c>
      <c r="HN12" s="35">
        <v>4.5490000000000003E-2</v>
      </c>
      <c r="HO12" s="36"/>
      <c r="HP12" s="34">
        <v>8.1662000000000002E-3</v>
      </c>
      <c r="HQ12" s="35">
        <v>4.5490000000000003E-2</v>
      </c>
      <c r="HR12" s="37"/>
      <c r="HS12" s="34">
        <v>7.4213999999999999E-3</v>
      </c>
      <c r="HT12" s="35">
        <v>4.1500000000000002E-2</v>
      </c>
      <c r="HU12" s="36"/>
      <c r="HV12" s="34">
        <v>7.8364000000000003E-3</v>
      </c>
      <c r="HW12" s="35">
        <v>4.1500000000000002E-2</v>
      </c>
      <c r="HX12" s="37"/>
      <c r="HY12" s="34">
        <v>9.0924000000000005E-3</v>
      </c>
      <c r="HZ12" s="35">
        <v>7.2080000000000005E-2</v>
      </c>
      <c r="IA12" s="36"/>
      <c r="IB12" s="34">
        <v>9.8131999999999994E-3</v>
      </c>
      <c r="IC12" s="35">
        <v>7.2080000000000005E-2</v>
      </c>
      <c r="ID12" s="37"/>
      <c r="IE12" s="34">
        <v>2.2679999999999998E-4</v>
      </c>
      <c r="IF12" s="35">
        <v>9.7999999999999997E-4</v>
      </c>
      <c r="IG12" s="36">
        <v>1822866.3386599999</v>
      </c>
      <c r="IH12" s="34">
        <v>2.366E-4</v>
      </c>
      <c r="II12" s="35">
        <v>9.7999999999999997E-4</v>
      </c>
      <c r="IJ12" s="37">
        <v>108.61584000000001</v>
      </c>
      <c r="IK12" s="34">
        <v>2.8479999999999998E-4</v>
      </c>
      <c r="IL12" s="35">
        <v>9.1E-4</v>
      </c>
      <c r="IM12" s="36">
        <v>0</v>
      </c>
      <c r="IN12" s="34">
        <v>2.9399999999999999E-4</v>
      </c>
      <c r="IO12" s="35">
        <v>9.1E-4</v>
      </c>
      <c r="IP12" s="37">
        <v>108.70254</v>
      </c>
      <c r="IQ12" s="34">
        <v>1.2789999999999999E-4</v>
      </c>
      <c r="IR12" s="35">
        <v>5.2999999999999998E-4</v>
      </c>
      <c r="IS12" s="36">
        <v>351897.02</v>
      </c>
      <c r="IT12" s="34">
        <v>1.3320000000000001E-4</v>
      </c>
      <c r="IU12" s="35">
        <v>5.2999999999999998E-4</v>
      </c>
      <c r="IV12" s="37">
        <v>108.67795</v>
      </c>
      <c r="IW12" s="34">
        <v>1.16031E-2</v>
      </c>
      <c r="IX12" s="35">
        <v>7.7549999999999994E-2</v>
      </c>
      <c r="IY12" s="36"/>
      <c r="IZ12" s="34">
        <v>1.2378499999999999E-2</v>
      </c>
      <c r="JA12" s="35">
        <v>7.7549999999999994E-2</v>
      </c>
      <c r="JB12" s="37"/>
      <c r="JC12" s="34">
        <v>2.1722E-3</v>
      </c>
      <c r="JD12" s="35">
        <v>8.6700000000000006E-3</v>
      </c>
      <c r="JE12" s="36"/>
      <c r="JF12" s="34">
        <v>2.2588999999999999E-3</v>
      </c>
      <c r="JG12" s="35">
        <v>8.6700000000000006E-3</v>
      </c>
      <c r="JH12" s="37">
        <v>109.5502</v>
      </c>
      <c r="JI12" s="34">
        <v>9.701E-4</v>
      </c>
      <c r="JJ12" s="35">
        <v>-1.33E-3</v>
      </c>
      <c r="JK12" s="36">
        <v>-472582.78360000002</v>
      </c>
      <c r="JL12" s="34">
        <v>9.569E-4</v>
      </c>
      <c r="JM12" s="35">
        <v>-1.33E-3</v>
      </c>
      <c r="JN12" s="37">
        <v>106.69168999999999</v>
      </c>
      <c r="JO12" s="36">
        <v>9141.0538400000005</v>
      </c>
      <c r="JP12" s="36">
        <v>1809.7333699999999</v>
      </c>
      <c r="JQ12" s="36">
        <v>7756335.0302600004</v>
      </c>
      <c r="JR12" s="36">
        <v>10950.78721</v>
      </c>
      <c r="JS12" s="38">
        <v>0.1979786</v>
      </c>
      <c r="JT12" s="37">
        <v>103.59493000000001</v>
      </c>
      <c r="JU12" s="36">
        <v>9150.5584799999997</v>
      </c>
      <c r="JV12" s="36">
        <v>1821.19589</v>
      </c>
      <c r="JW12" s="36">
        <v>6224981.4126300002</v>
      </c>
      <c r="JX12" s="36">
        <v>10971.75438</v>
      </c>
      <c r="JY12" s="38">
        <v>0.1990257</v>
      </c>
      <c r="JZ12" s="37">
        <v>104.94817999999999</v>
      </c>
      <c r="KA12" s="36">
        <v>9104.0925100000004</v>
      </c>
      <c r="KB12" s="36">
        <v>1763.07836</v>
      </c>
      <c r="KC12" s="36">
        <v>1529993.4177399999</v>
      </c>
      <c r="KD12" s="36">
        <v>10867.17087</v>
      </c>
      <c r="KE12" s="38">
        <v>0.19365780000000002</v>
      </c>
      <c r="KF12" s="37">
        <v>97.007379999999998</v>
      </c>
      <c r="KG12" s="37">
        <v>4</v>
      </c>
      <c r="KH12" s="37">
        <v>0</v>
      </c>
      <c r="KI12" s="36"/>
      <c r="KJ12" s="37">
        <v>4</v>
      </c>
      <c r="KK12" s="38">
        <v>0</v>
      </c>
      <c r="KL12" s="37">
        <v>100</v>
      </c>
      <c r="KM12" s="37">
        <v>4</v>
      </c>
      <c r="KN12" s="37">
        <v>0</v>
      </c>
      <c r="KO12" s="36"/>
      <c r="KP12" s="37">
        <v>4</v>
      </c>
      <c r="KQ12" s="38">
        <v>0</v>
      </c>
      <c r="KR12" s="37">
        <v>100</v>
      </c>
      <c r="KS12" s="37">
        <v>4</v>
      </c>
      <c r="KT12" s="37">
        <v>0</v>
      </c>
      <c r="KU12" s="36"/>
      <c r="KV12" s="37">
        <v>4</v>
      </c>
      <c r="KW12" s="38">
        <v>0</v>
      </c>
      <c r="KX12" s="37">
        <v>100</v>
      </c>
      <c r="KY12" s="37">
        <v>4439</v>
      </c>
      <c r="KZ12" s="37">
        <v>-294</v>
      </c>
      <c r="LA12" s="37">
        <v>4145</v>
      </c>
      <c r="LB12" s="38">
        <v>-6.6231100000000001E-2</v>
      </c>
      <c r="LC12" s="37">
        <v>105.89919</v>
      </c>
      <c r="LD12" s="37">
        <v>3531</v>
      </c>
      <c r="LE12" s="37">
        <v>-217</v>
      </c>
      <c r="LF12" s="37">
        <v>3314</v>
      </c>
      <c r="LG12" s="38">
        <v>-6.1455700000000002E-2</v>
      </c>
      <c r="LH12" s="37">
        <v>105.59173</v>
      </c>
      <c r="LI12" s="37">
        <v>908</v>
      </c>
      <c r="LJ12" s="37">
        <v>-77</v>
      </c>
      <c r="LK12" s="37">
        <v>831</v>
      </c>
      <c r="LL12" s="38">
        <v>-8.4801800000000011E-2</v>
      </c>
      <c r="LM12" s="37">
        <v>107.92773</v>
      </c>
      <c r="LN12" s="39">
        <v>1.0729299999999999</v>
      </c>
      <c r="LO12" s="39">
        <v>-6.6499999999999997E-3</v>
      </c>
      <c r="LP12" s="39">
        <v>1.0662799999999999</v>
      </c>
      <c r="LQ12" s="38">
        <v>-6.1938999999999996E-3</v>
      </c>
      <c r="LR12" s="37">
        <v>98.976849999999999</v>
      </c>
      <c r="LS12" s="39">
        <v>1.0530900000000001</v>
      </c>
      <c r="LT12" s="39">
        <v>-1.291E-2</v>
      </c>
      <c r="LU12" s="36">
        <v>-423069.34632999997</v>
      </c>
      <c r="LV12" s="39">
        <v>1.0401800000000001</v>
      </c>
      <c r="LW12" s="38">
        <v>-1.2260200000000001E-2</v>
      </c>
      <c r="LX12" s="37">
        <v>97.156549999999996</v>
      </c>
      <c r="LY12" s="39">
        <v>1.0476799999999999</v>
      </c>
      <c r="LZ12" s="39">
        <v>-8.0499999999999999E-3</v>
      </c>
      <c r="MA12" s="36">
        <v>-331057.71694000001</v>
      </c>
      <c r="MB12" s="39">
        <v>1.0396300000000001</v>
      </c>
      <c r="MC12" s="38">
        <v>-7.6803000000000001E-3</v>
      </c>
      <c r="MD12" s="37">
        <v>97.484139999999996</v>
      </c>
      <c r="ME12" s="39">
        <v>1.02715</v>
      </c>
      <c r="MF12" s="39">
        <v>1.03E-2</v>
      </c>
      <c r="MG12" s="36">
        <v>86269.769090000002</v>
      </c>
      <c r="MH12" s="39">
        <v>1.03745</v>
      </c>
      <c r="MI12" s="38">
        <v>1.00315E-2</v>
      </c>
      <c r="MJ12" s="37">
        <v>99.298330000000007</v>
      </c>
      <c r="MK12" s="36">
        <v>0</v>
      </c>
      <c r="ML12" s="36">
        <v>0</v>
      </c>
      <c r="MM12" s="36">
        <v>0</v>
      </c>
      <c r="MN12" s="36">
        <v>0</v>
      </c>
      <c r="MO12" s="36">
        <v>0</v>
      </c>
      <c r="MP12" s="36">
        <v>0</v>
      </c>
      <c r="MQ12" s="36">
        <v>0</v>
      </c>
      <c r="MR12" s="36">
        <v>0</v>
      </c>
      <c r="MS12" s="36">
        <v>0</v>
      </c>
      <c r="MT12" s="37">
        <v>4438</v>
      </c>
      <c r="MU12" s="37">
        <v>-293</v>
      </c>
      <c r="MV12" s="36">
        <v>-2932598.7277799998</v>
      </c>
      <c r="MW12" s="37">
        <v>4145</v>
      </c>
      <c r="MX12" s="38">
        <v>-6.6020700000000002E-2</v>
      </c>
      <c r="MY12" s="37">
        <v>3531</v>
      </c>
      <c r="MZ12" s="37">
        <v>-217</v>
      </c>
      <c r="NA12" s="36">
        <v>-2175209.4126300002</v>
      </c>
      <c r="NB12" s="37">
        <v>3314</v>
      </c>
      <c r="NC12" s="38">
        <v>-6.1455700000000002E-2</v>
      </c>
      <c r="ND12" s="37">
        <v>907</v>
      </c>
      <c r="NE12" s="37">
        <v>-76</v>
      </c>
      <c r="NF12" s="36">
        <v>-756128.73196</v>
      </c>
      <c r="NG12" s="37">
        <v>831</v>
      </c>
      <c r="NH12" s="38">
        <v>-8.3792699999999998E-2</v>
      </c>
      <c r="NI12" s="36">
        <v>40577138</v>
      </c>
      <c r="NJ12" s="36">
        <v>4813874.99</v>
      </c>
      <c r="NK12" s="36">
        <v>4813874.99</v>
      </c>
      <c r="NL12" s="36">
        <v>45391012.990000002</v>
      </c>
      <c r="NM12" s="38">
        <v>0.1186352</v>
      </c>
      <c r="NN12" s="37">
        <v>109.70619000000001</v>
      </c>
      <c r="NO12" s="36">
        <v>32310622</v>
      </c>
      <c r="NP12" s="36">
        <v>4049772</v>
      </c>
      <c r="NQ12" s="36">
        <v>4049772</v>
      </c>
      <c r="NR12" s="36">
        <v>36360394</v>
      </c>
      <c r="NS12" s="38">
        <v>0.1253387</v>
      </c>
      <c r="NT12" s="37">
        <v>110.81659000000001</v>
      </c>
      <c r="NU12" s="36">
        <v>8266516</v>
      </c>
      <c r="NV12" s="36">
        <v>764102.99</v>
      </c>
      <c r="NW12" s="36">
        <v>764102.99</v>
      </c>
      <c r="NX12" s="36">
        <v>9030618.9900000002</v>
      </c>
      <c r="NY12" s="38">
        <v>9.2433500000000002E-2</v>
      </c>
      <c r="NZ12" s="37">
        <v>104.69786000000001</v>
      </c>
      <c r="OA12" s="36">
        <v>116600.97126000001</v>
      </c>
      <c r="OB12" s="36">
        <v>29350.83899</v>
      </c>
      <c r="OC12" s="36"/>
      <c r="OD12" s="36">
        <v>145951.81026</v>
      </c>
      <c r="OE12" s="38">
        <v>0.25172040000000001</v>
      </c>
      <c r="OF12" s="37">
        <v>118.48573</v>
      </c>
      <c r="OG12" s="36">
        <v>96738.389219999997</v>
      </c>
      <c r="OH12" s="36">
        <v>24462.92411</v>
      </c>
      <c r="OI12" s="36"/>
      <c r="OJ12" s="36">
        <v>121201.31333</v>
      </c>
      <c r="OK12" s="38">
        <v>0.25287710000000002</v>
      </c>
      <c r="OL12" s="37">
        <v>119.08198</v>
      </c>
      <c r="OM12" s="36">
        <v>28803.191640000001</v>
      </c>
      <c r="ON12" s="36">
        <v>5664.8197700000001</v>
      </c>
      <c r="OO12" s="36"/>
      <c r="OP12" s="36">
        <v>34468.011409999999</v>
      </c>
      <c r="OQ12" s="38">
        <v>0.1966733</v>
      </c>
      <c r="OR12" s="37">
        <v>110.69665000000001</v>
      </c>
      <c r="OS12" s="39">
        <v>12.755750000000001</v>
      </c>
      <c r="OT12" s="39">
        <v>0.57223000000000002</v>
      </c>
      <c r="OU12" s="36"/>
      <c r="OV12" s="39">
        <v>13.327970000000001</v>
      </c>
      <c r="OW12" s="38">
        <v>4.4860300000000006E-2</v>
      </c>
      <c r="OX12" s="37">
        <v>114.37407</v>
      </c>
      <c r="OY12" s="39">
        <v>10.571859999999999</v>
      </c>
      <c r="OZ12" s="39">
        <v>0.47481000000000001</v>
      </c>
      <c r="PA12" s="36"/>
      <c r="PB12" s="39">
        <v>11.046670000000001</v>
      </c>
      <c r="PC12" s="38">
        <v>4.49127E-2</v>
      </c>
      <c r="PD12" s="37">
        <v>113.46742</v>
      </c>
      <c r="PE12" s="39">
        <v>3.1637599999999999</v>
      </c>
      <c r="PF12" s="39">
        <v>7.9900000000000006E-3</v>
      </c>
      <c r="PG12" s="36"/>
      <c r="PH12" s="39">
        <v>3.1717599999999999</v>
      </c>
      <c r="PI12" s="38">
        <v>2.5263000000000004E-3</v>
      </c>
      <c r="PJ12" s="37">
        <v>114.11157</v>
      </c>
      <c r="PK12" s="36">
        <v>26530.44382</v>
      </c>
      <c r="PL12" s="36">
        <v>2928.4161300000001</v>
      </c>
      <c r="PM12" s="36"/>
      <c r="PN12" s="36">
        <v>29458.859949999998</v>
      </c>
      <c r="PO12" s="38">
        <v>0.11037950000000001</v>
      </c>
      <c r="PP12" s="37"/>
      <c r="PQ12" s="39">
        <v>2.9023400000000001</v>
      </c>
      <c r="PR12" s="39">
        <v>-0.21223</v>
      </c>
      <c r="PS12" s="36"/>
      <c r="PT12" s="39">
        <v>2.6901099999999998</v>
      </c>
      <c r="PU12" s="38">
        <v>-7.3122499999999993E-2</v>
      </c>
      <c r="PV12" s="37"/>
      <c r="PW12" s="37">
        <v>4237</v>
      </c>
      <c r="PX12" s="37">
        <v>-250</v>
      </c>
      <c r="PY12" s="36">
        <v>-2611402.32332</v>
      </c>
      <c r="PZ12" s="37">
        <v>3987</v>
      </c>
      <c r="QA12" s="38">
        <v>-5.9004000000000001E-2</v>
      </c>
      <c r="QB12" s="37">
        <v>108.63224</v>
      </c>
      <c r="QC12" s="37">
        <v>3353</v>
      </c>
      <c r="QD12" s="37">
        <v>-167</v>
      </c>
      <c r="QE12" s="36">
        <v>0</v>
      </c>
      <c r="QF12" s="37">
        <v>3186</v>
      </c>
      <c r="QG12" s="38">
        <v>-4.9806100000000006E-2</v>
      </c>
      <c r="QH12" s="37">
        <v>108.68205</v>
      </c>
      <c r="QI12" s="37">
        <v>884</v>
      </c>
      <c r="QJ12" s="37">
        <v>-83</v>
      </c>
      <c r="QK12" s="36">
        <v>-852160.19683000003</v>
      </c>
      <c r="QL12" s="37">
        <v>801</v>
      </c>
      <c r="QM12" s="38">
        <v>-9.38914E-2</v>
      </c>
      <c r="QN12" s="37">
        <v>108.69037</v>
      </c>
      <c r="QO12" s="37">
        <v>18685753</v>
      </c>
      <c r="QP12" s="37">
        <v>-1833361</v>
      </c>
      <c r="QQ12" s="36">
        <v>-4434268.6619800003</v>
      </c>
      <c r="QR12" s="37">
        <v>16852392</v>
      </c>
      <c r="QS12" s="38">
        <v>-9.8115400000000005E-2</v>
      </c>
      <c r="QT12" s="37">
        <v>100</v>
      </c>
      <c r="QU12" s="37">
        <v>11772767</v>
      </c>
      <c r="QV12" s="37">
        <v>-934378</v>
      </c>
      <c r="QW12" s="36">
        <v>0</v>
      </c>
      <c r="QX12" s="37">
        <v>10838389</v>
      </c>
      <c r="QY12" s="38">
        <v>-7.9367699999999999E-2</v>
      </c>
      <c r="QZ12" s="37">
        <v>100</v>
      </c>
      <c r="RA12" s="37">
        <v>6912986</v>
      </c>
      <c r="RB12" s="37">
        <v>-898983</v>
      </c>
      <c r="RC12" s="36">
        <v>-1204057.21683</v>
      </c>
      <c r="RD12" s="37">
        <v>6014003</v>
      </c>
      <c r="RE12" s="38">
        <v>-0.13004260000000001</v>
      </c>
      <c r="RF12" s="37">
        <v>100</v>
      </c>
    </row>
    <row r="13" spans="1:474" x14ac:dyDescent="0.25">
      <c r="A13" s="1" t="s">
        <v>505</v>
      </c>
      <c r="B13" s="1" t="s">
        <v>511</v>
      </c>
      <c r="C13" s="34">
        <v>3.1223999999999998E-2</v>
      </c>
      <c r="D13" s="35">
        <v>0.83016999999999996</v>
      </c>
      <c r="E13" s="36"/>
      <c r="F13" s="34">
        <v>3.9525700000000004E-2</v>
      </c>
      <c r="G13" s="35">
        <v>0.83016999999999996</v>
      </c>
      <c r="H13" s="37">
        <v>138.19289000000001</v>
      </c>
      <c r="I13" s="37">
        <v>249</v>
      </c>
      <c r="J13" s="37">
        <v>-76</v>
      </c>
      <c r="K13" s="36">
        <v>0</v>
      </c>
      <c r="L13" s="37">
        <v>173</v>
      </c>
      <c r="M13" s="38">
        <v>-0.30522089999999996</v>
      </c>
      <c r="N13" s="37">
        <v>71.98312</v>
      </c>
      <c r="O13" s="37">
        <v>192</v>
      </c>
      <c r="P13" s="37">
        <v>-54</v>
      </c>
      <c r="Q13" s="36"/>
      <c r="R13" s="37">
        <v>138</v>
      </c>
      <c r="S13" s="38">
        <v>-0.28125</v>
      </c>
      <c r="T13" s="37">
        <v>74.466650000000001</v>
      </c>
      <c r="U13" s="37">
        <v>259</v>
      </c>
      <c r="V13" s="37">
        <v>-76</v>
      </c>
      <c r="W13" s="36"/>
      <c r="X13" s="37">
        <v>183</v>
      </c>
      <c r="Y13" s="38">
        <v>-0.29343629999999998</v>
      </c>
      <c r="Z13" s="37">
        <v>73.204080000000005</v>
      </c>
      <c r="AA13" s="37">
        <v>2402</v>
      </c>
      <c r="AB13" s="37">
        <v>-884</v>
      </c>
      <c r="AC13" s="36">
        <v>-6322310.8008700004</v>
      </c>
      <c r="AD13" s="37">
        <v>1518</v>
      </c>
      <c r="AE13" s="38">
        <v>-0.36802660000000004</v>
      </c>
      <c r="AF13" s="37">
        <v>71.390739999999994</v>
      </c>
      <c r="AG13" s="37">
        <v>3392279</v>
      </c>
      <c r="AH13" s="37">
        <v>-144181</v>
      </c>
      <c r="AI13" s="36">
        <v>-598361.61488000001</v>
      </c>
      <c r="AJ13" s="37">
        <v>3248098</v>
      </c>
      <c r="AK13" s="38">
        <v>-4.2502700000000004E-2</v>
      </c>
      <c r="AL13" s="37">
        <v>100</v>
      </c>
      <c r="AM13" s="36">
        <v>-113437.02946999999</v>
      </c>
      <c r="AN13" s="38">
        <v>-6.5473000000000007E-3</v>
      </c>
      <c r="AO13" s="36">
        <v>-91273.507329999993</v>
      </c>
      <c r="AP13" s="38">
        <v>-6.6032E-3</v>
      </c>
      <c r="AQ13" s="36">
        <v>-22756.497469999998</v>
      </c>
      <c r="AR13" s="38">
        <v>-6.4963E-3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3371751.8096099999</v>
      </c>
      <c r="BC13" s="34">
        <v>0.215615</v>
      </c>
      <c r="BD13" s="36">
        <v>2699604.1812100001</v>
      </c>
      <c r="BE13" s="34">
        <v>0.21646860000000001</v>
      </c>
      <c r="BF13" s="36">
        <v>678724.38511999999</v>
      </c>
      <c r="BG13" s="34">
        <v>0.21456810000000001</v>
      </c>
      <c r="BH13" s="34">
        <v>0.78525</v>
      </c>
      <c r="BI13" s="35">
        <v>-8.1980000000000004</v>
      </c>
      <c r="BJ13" s="36"/>
      <c r="BK13" s="34">
        <v>0.70326999999999995</v>
      </c>
      <c r="BL13" s="35">
        <v>-8.1980000000000004</v>
      </c>
      <c r="BM13" s="37"/>
      <c r="BN13" s="39">
        <v>1.03247</v>
      </c>
      <c r="BO13" s="39">
        <v>1.2319999999999999E-2</v>
      </c>
      <c r="BP13" s="36">
        <v>163457.01149999999</v>
      </c>
      <c r="BQ13" s="39">
        <v>1.0448</v>
      </c>
      <c r="BR13" s="38">
        <v>1.1935299999999999E-2</v>
      </c>
      <c r="BS13" s="37">
        <v>102.46022000000001</v>
      </c>
      <c r="BT13" s="36">
        <v>3832681.1</v>
      </c>
      <c r="BU13" s="36">
        <v>-1509819.1</v>
      </c>
      <c r="BV13" s="36"/>
      <c r="BW13" s="36">
        <v>3553182.1</v>
      </c>
      <c r="BX13" s="36">
        <v>-1442467.1</v>
      </c>
      <c r="BY13" s="36"/>
      <c r="BZ13" s="36">
        <v>2110715</v>
      </c>
      <c r="CA13" s="34">
        <v>-0.40596490000000002</v>
      </c>
      <c r="CB13" s="37"/>
      <c r="CC13" s="36">
        <v>279499</v>
      </c>
      <c r="CD13" s="36">
        <v>-67352</v>
      </c>
      <c r="CE13" s="36"/>
      <c r="CF13" s="36">
        <v>212147</v>
      </c>
      <c r="CG13" s="34">
        <v>-0.24097399999999999</v>
      </c>
      <c r="CH13" s="37"/>
      <c r="CI13" s="36">
        <v>2322862</v>
      </c>
      <c r="CJ13" s="34">
        <v>-0.39393290000000003</v>
      </c>
      <c r="CK13" s="37"/>
      <c r="CL13" s="36">
        <v>1219.0461499999999</v>
      </c>
      <c r="CM13" s="36">
        <v>-50.016460000000002</v>
      </c>
      <c r="CN13" s="36"/>
      <c r="CO13" s="36">
        <v>1432.7347199999999</v>
      </c>
      <c r="CP13" s="36">
        <v>-101.89297999999999</v>
      </c>
      <c r="CQ13" s="36"/>
      <c r="CR13" s="36">
        <v>1330.8417400000001</v>
      </c>
      <c r="CS13" s="38">
        <v>-7.1117800000000009E-2</v>
      </c>
      <c r="CT13" s="37"/>
      <c r="CU13" s="36">
        <v>420.93223</v>
      </c>
      <c r="CV13" s="36">
        <v>108.11266000000001</v>
      </c>
      <c r="CW13" s="36"/>
      <c r="CX13" s="36">
        <v>529.04489000000001</v>
      </c>
      <c r="CY13" s="38">
        <v>0.25684099999999999</v>
      </c>
      <c r="CZ13" s="37"/>
      <c r="DA13" s="36">
        <v>1169.0296900000001</v>
      </c>
      <c r="DB13" s="38">
        <v>-4.1029200000000002E-2</v>
      </c>
      <c r="DC13" s="37"/>
      <c r="DD13" s="36">
        <v>242944.89291</v>
      </c>
      <c r="DE13" s="36">
        <v>30758.886549999999</v>
      </c>
      <c r="DF13" s="36"/>
      <c r="DG13" s="36">
        <v>273703.77945999999</v>
      </c>
      <c r="DH13" s="38">
        <v>0.12660850000000001</v>
      </c>
      <c r="DI13" s="37"/>
      <c r="DJ13" s="36">
        <v>172592.53164</v>
      </c>
      <c r="DK13" s="36">
        <v>11282.263940000001</v>
      </c>
      <c r="DL13" s="36"/>
      <c r="DM13" s="36">
        <v>183874.79558999999</v>
      </c>
      <c r="DN13" s="38">
        <v>6.5369400000000008E-2</v>
      </c>
      <c r="DO13" s="37"/>
      <c r="DP13" s="36">
        <v>228086.76063</v>
      </c>
      <c r="DQ13" s="36">
        <v>27488.472010000001</v>
      </c>
      <c r="DR13" s="36"/>
      <c r="DS13" s="36">
        <v>255575.23264</v>
      </c>
      <c r="DT13" s="38">
        <v>0.1205176</v>
      </c>
      <c r="DU13" s="37"/>
      <c r="DV13" s="36">
        <v>1479.25983</v>
      </c>
      <c r="DW13" s="36">
        <v>-88.801990000000004</v>
      </c>
      <c r="DX13" s="36"/>
      <c r="DY13" s="36">
        <v>1390.45784</v>
      </c>
      <c r="DZ13" s="34">
        <v>-6.0031399999999999E-2</v>
      </c>
      <c r="EA13" s="37"/>
      <c r="EB13" s="36">
        <v>250834.02765</v>
      </c>
      <c r="EC13" s="36">
        <v>35130.527179999997</v>
      </c>
      <c r="ED13" s="36"/>
      <c r="EE13" s="36">
        <v>285964.55482999998</v>
      </c>
      <c r="EF13" s="38">
        <v>0.14005490000000001</v>
      </c>
      <c r="EG13" s="37"/>
      <c r="EH13" s="36">
        <v>602503334.41999996</v>
      </c>
      <c r="EI13" s="36">
        <v>-168409140.19</v>
      </c>
      <c r="EJ13" s="36"/>
      <c r="EK13" s="36">
        <v>434094194.23000002</v>
      </c>
      <c r="EL13" s="38">
        <v>-0.27951569999999998</v>
      </c>
      <c r="EM13" s="37"/>
      <c r="EN13" s="36">
        <v>114601441.01000001</v>
      </c>
      <c r="EO13" s="36">
        <v>-40867647.979999997</v>
      </c>
      <c r="EP13" s="36"/>
      <c r="EQ13" s="36">
        <v>73733793.030000001</v>
      </c>
      <c r="ER13" s="38">
        <v>-0.3566068</v>
      </c>
      <c r="ES13" s="37"/>
      <c r="ET13" s="36">
        <v>717104775.42999995</v>
      </c>
      <c r="EU13" s="36">
        <v>-209276788.16999999</v>
      </c>
      <c r="EV13" s="36"/>
      <c r="EW13" s="36">
        <v>507827987.25999999</v>
      </c>
      <c r="EX13" s="38">
        <v>-0.29183569999999998</v>
      </c>
      <c r="EY13" s="37"/>
      <c r="EZ13" s="36">
        <v>6630.1473699999997</v>
      </c>
      <c r="FA13" s="36">
        <v>1163.4382700000001</v>
      </c>
      <c r="FB13" s="36">
        <v>2227359.8208699999</v>
      </c>
      <c r="FC13" s="36">
        <v>7793.58565</v>
      </c>
      <c r="FD13" s="38">
        <v>0.17547699999999999</v>
      </c>
      <c r="FE13" s="37">
        <v>102.46901</v>
      </c>
      <c r="FF13" s="36">
        <v>6690.0148600000002</v>
      </c>
      <c r="FG13" s="36">
        <v>1397.86547</v>
      </c>
      <c r="FH13" s="36">
        <v>8087.88033</v>
      </c>
      <c r="FI13" s="38">
        <v>0.20894799999999999</v>
      </c>
      <c r="FJ13" s="37">
        <v>109.4118</v>
      </c>
      <c r="FK13" s="36">
        <v>6375.8937599999999</v>
      </c>
      <c r="FL13" s="36">
        <v>1052.9331199999999</v>
      </c>
      <c r="FM13" s="36">
        <v>2639439.4583299998</v>
      </c>
      <c r="FN13" s="36">
        <v>7428.8268799999996</v>
      </c>
      <c r="FO13" s="38">
        <v>0.16514280000000001</v>
      </c>
      <c r="FP13" s="37">
        <v>98.980789999999999</v>
      </c>
      <c r="FQ13" s="36">
        <v>6421.6185400000004</v>
      </c>
      <c r="FR13" s="36">
        <v>1037.8158900000001</v>
      </c>
      <c r="FS13" s="36">
        <v>2063902.8093699999</v>
      </c>
      <c r="FT13" s="36">
        <v>7459.4344300000002</v>
      </c>
      <c r="FU13" s="38">
        <v>0.1616128</v>
      </c>
      <c r="FV13" s="37">
        <v>100.00859</v>
      </c>
      <c r="FW13" s="36">
        <v>6205.1144599999998</v>
      </c>
      <c r="FX13" s="36">
        <v>1102.6561200000001</v>
      </c>
      <c r="FY13" s="36">
        <v>571099.06183999998</v>
      </c>
      <c r="FZ13" s="36">
        <v>7307.7705699999997</v>
      </c>
      <c r="GA13" s="38">
        <v>0.17770119999999998</v>
      </c>
      <c r="GB13" s="37">
        <v>94.095119999999994</v>
      </c>
      <c r="GC13" s="37">
        <v>5</v>
      </c>
      <c r="GD13" s="37">
        <v>0</v>
      </c>
      <c r="GE13" s="36"/>
      <c r="GF13" s="37">
        <v>5</v>
      </c>
      <c r="GG13" s="38">
        <v>0</v>
      </c>
      <c r="GH13" s="37"/>
      <c r="GI13" s="37">
        <v>5</v>
      </c>
      <c r="GJ13" s="37">
        <v>0</v>
      </c>
      <c r="GK13" s="36"/>
      <c r="GL13" s="37">
        <v>5</v>
      </c>
      <c r="GM13" s="38">
        <v>0</v>
      </c>
      <c r="GN13" s="37"/>
      <c r="GO13" s="37">
        <v>5</v>
      </c>
      <c r="GP13" s="37">
        <v>0</v>
      </c>
      <c r="GQ13" s="36"/>
      <c r="GR13" s="37">
        <v>5</v>
      </c>
      <c r="GS13" s="38">
        <v>0</v>
      </c>
      <c r="GT13" s="37"/>
      <c r="GU13" s="34">
        <v>4.5956E-3</v>
      </c>
      <c r="GV13" s="35">
        <v>-0.12767999999999999</v>
      </c>
      <c r="GW13" s="36"/>
      <c r="GX13" s="34">
        <v>3.3188000000000002E-3</v>
      </c>
      <c r="GY13" s="35">
        <v>-0.12767999999999999</v>
      </c>
      <c r="GZ13" s="37"/>
      <c r="HA13" s="34">
        <v>4.2916999999999999E-3</v>
      </c>
      <c r="HB13" s="35">
        <v>-0.11522</v>
      </c>
      <c r="HC13" s="36"/>
      <c r="HD13" s="34">
        <v>3.1394999999999999E-3</v>
      </c>
      <c r="HE13" s="35">
        <v>-0.11522</v>
      </c>
      <c r="HF13" s="37"/>
      <c r="HG13" s="34">
        <v>6.3270999999999996E-3</v>
      </c>
      <c r="HH13" s="35">
        <v>-0.20143</v>
      </c>
      <c r="HI13" s="36"/>
      <c r="HJ13" s="34">
        <v>4.3128000000000003E-3</v>
      </c>
      <c r="HK13" s="35">
        <v>-0.20143</v>
      </c>
      <c r="HL13" s="37"/>
      <c r="HM13" s="34">
        <v>6.1651999999999992E-3</v>
      </c>
      <c r="HN13" s="35">
        <v>-0.19017999999999999</v>
      </c>
      <c r="HO13" s="36"/>
      <c r="HP13" s="34">
        <v>4.2633999999999997E-3</v>
      </c>
      <c r="HQ13" s="35">
        <v>-0.19017999999999999</v>
      </c>
      <c r="HR13" s="37"/>
      <c r="HS13" s="34">
        <v>5.9901000000000008E-3</v>
      </c>
      <c r="HT13" s="35">
        <v>-0.18473000000000001</v>
      </c>
      <c r="HU13" s="36"/>
      <c r="HV13" s="34">
        <v>4.1427999999999994E-3</v>
      </c>
      <c r="HW13" s="35">
        <v>-0.18473000000000001</v>
      </c>
      <c r="HX13" s="37"/>
      <c r="HY13" s="34">
        <v>6.9994999999999996E-3</v>
      </c>
      <c r="HZ13" s="35">
        <v>-0.21343000000000001</v>
      </c>
      <c r="IA13" s="36"/>
      <c r="IB13" s="34">
        <v>4.8653000000000004E-3</v>
      </c>
      <c r="IC13" s="35">
        <v>-0.21343000000000001</v>
      </c>
      <c r="ID13" s="37"/>
      <c r="IE13" s="34">
        <v>1.6830000000000003E-4</v>
      </c>
      <c r="IF13" s="35">
        <v>-5.0400000000000002E-3</v>
      </c>
      <c r="IG13" s="36">
        <v>-6140834.4447400002</v>
      </c>
      <c r="IH13" s="34">
        <v>1.1790000000000001E-4</v>
      </c>
      <c r="II13" s="35">
        <v>-5.0400000000000002E-3</v>
      </c>
      <c r="IJ13" s="37">
        <v>72.937550000000002</v>
      </c>
      <c r="IK13" s="34">
        <v>2.1069999999999997E-4</v>
      </c>
      <c r="IL13" s="35">
        <v>-6.43E-3</v>
      </c>
      <c r="IM13" s="36">
        <v>0</v>
      </c>
      <c r="IN13" s="34">
        <v>1.4630000000000001E-4</v>
      </c>
      <c r="IO13" s="35">
        <v>-6.43E-3</v>
      </c>
      <c r="IP13" s="37">
        <v>73.115949999999998</v>
      </c>
      <c r="IQ13" s="34">
        <v>9.6100000000000005E-5</v>
      </c>
      <c r="IR13" s="35">
        <v>-2.9399999999999999E-3</v>
      </c>
      <c r="IS13" s="36">
        <v>-1274462.4466899999</v>
      </c>
      <c r="IT13" s="34">
        <v>6.6699999999999995E-5</v>
      </c>
      <c r="IU13" s="35">
        <v>-2.9399999999999999E-3</v>
      </c>
      <c r="IV13" s="37">
        <v>72.428619999999995</v>
      </c>
      <c r="IW13" s="34">
        <v>8.4687000000000009E-3</v>
      </c>
      <c r="IX13" s="35">
        <v>-0.24228</v>
      </c>
      <c r="IY13" s="36"/>
      <c r="IZ13" s="34">
        <v>6.0458999999999999E-3</v>
      </c>
      <c r="JA13" s="35">
        <v>-0.24228</v>
      </c>
      <c r="JB13" s="37"/>
      <c r="JC13" s="34">
        <v>1.7030000000000001E-3</v>
      </c>
      <c r="JD13" s="35">
        <v>-5.91E-2</v>
      </c>
      <c r="JE13" s="36"/>
      <c r="JF13" s="34">
        <v>1.1119999999999999E-3</v>
      </c>
      <c r="JG13" s="35">
        <v>-5.91E-2</v>
      </c>
      <c r="JH13" s="37">
        <v>68.786959999999993</v>
      </c>
      <c r="JI13" s="34">
        <v>7.0810000000000003E-4</v>
      </c>
      <c r="JJ13" s="35">
        <v>-2.4070000000000001E-2</v>
      </c>
      <c r="JK13" s="36">
        <v>-5723949.1859900001</v>
      </c>
      <c r="JL13" s="34">
        <v>4.6739999999999998E-4</v>
      </c>
      <c r="JM13" s="35">
        <v>-2.4070000000000001E-2</v>
      </c>
      <c r="JN13" s="37">
        <v>71.396129999999999</v>
      </c>
      <c r="JO13" s="36">
        <v>5648.2981099999997</v>
      </c>
      <c r="JP13" s="36">
        <v>1172.90291</v>
      </c>
      <c r="JQ13" s="36">
        <v>3258314.7801299999</v>
      </c>
      <c r="JR13" s="36">
        <v>6821.2010200000004</v>
      </c>
      <c r="JS13" s="38">
        <v>0.20765599999999998</v>
      </c>
      <c r="JT13" s="37">
        <v>104.43178</v>
      </c>
      <c r="JU13" s="36">
        <v>5587.9347299999999</v>
      </c>
      <c r="JV13" s="36">
        <v>1164.7267999999999</v>
      </c>
      <c r="JW13" s="36">
        <v>2608330.6738700001</v>
      </c>
      <c r="JX13" s="36">
        <v>6752.6615400000001</v>
      </c>
      <c r="JY13" s="38">
        <v>0.20843599999999998</v>
      </c>
      <c r="JZ13" s="37">
        <v>105.77184</v>
      </c>
      <c r="KA13" s="36">
        <v>5894.4148800000003</v>
      </c>
      <c r="KB13" s="36">
        <v>1218.24532</v>
      </c>
      <c r="KC13" s="36">
        <v>655967.88765000005</v>
      </c>
      <c r="KD13" s="36">
        <v>7112.6601899999996</v>
      </c>
      <c r="KE13" s="38">
        <v>0.2066779</v>
      </c>
      <c r="KF13" s="37">
        <v>98.065520000000006</v>
      </c>
      <c r="KG13" s="37">
        <v>4</v>
      </c>
      <c r="KH13" s="37">
        <v>0</v>
      </c>
      <c r="KI13" s="36"/>
      <c r="KJ13" s="37">
        <v>4</v>
      </c>
      <c r="KK13" s="38">
        <v>0</v>
      </c>
      <c r="KL13" s="37">
        <v>100</v>
      </c>
      <c r="KM13" s="37">
        <v>4</v>
      </c>
      <c r="KN13" s="37">
        <v>0</v>
      </c>
      <c r="KO13" s="36"/>
      <c r="KP13" s="37">
        <v>4</v>
      </c>
      <c r="KQ13" s="38">
        <v>0</v>
      </c>
      <c r="KR13" s="37">
        <v>100</v>
      </c>
      <c r="KS13" s="37">
        <v>4</v>
      </c>
      <c r="KT13" s="37">
        <v>0</v>
      </c>
      <c r="KU13" s="36"/>
      <c r="KV13" s="37">
        <v>4</v>
      </c>
      <c r="KW13" s="38">
        <v>0</v>
      </c>
      <c r="KX13" s="37">
        <v>100</v>
      </c>
      <c r="KY13" s="37">
        <v>3549</v>
      </c>
      <c r="KZ13" s="37">
        <v>-1385</v>
      </c>
      <c r="LA13" s="37">
        <v>2164</v>
      </c>
      <c r="LB13" s="38">
        <v>-0.39025080000000001</v>
      </c>
      <c r="LC13" s="37">
        <v>69.151960000000003</v>
      </c>
      <c r="LD13" s="37">
        <v>2850</v>
      </c>
      <c r="LE13" s="37">
        <v>-1098</v>
      </c>
      <c r="LF13" s="37">
        <v>1752</v>
      </c>
      <c r="LG13" s="38">
        <v>-0.38526319999999997</v>
      </c>
      <c r="LH13" s="37">
        <v>69.161490000000001</v>
      </c>
      <c r="LI13" s="37">
        <v>699</v>
      </c>
      <c r="LJ13" s="37">
        <v>-287</v>
      </c>
      <c r="LK13" s="37">
        <v>412</v>
      </c>
      <c r="LL13" s="38">
        <v>-0.41058660000000002</v>
      </c>
      <c r="LM13" s="37">
        <v>69.508499999999998</v>
      </c>
      <c r="LN13" s="39">
        <v>1.18651</v>
      </c>
      <c r="LO13" s="39">
        <v>-3.236E-2</v>
      </c>
      <c r="LP13" s="39">
        <v>1.15415</v>
      </c>
      <c r="LQ13" s="38">
        <v>-2.7274099999999999E-2</v>
      </c>
      <c r="LR13" s="37">
        <v>96.877399999999994</v>
      </c>
      <c r="LS13" s="39">
        <v>1.1491899999999999</v>
      </c>
      <c r="LT13" s="39">
        <v>-4.453E-2</v>
      </c>
      <c r="LU13" s="36">
        <v>-544427.86450999998</v>
      </c>
      <c r="LV13" s="39">
        <v>1.10467</v>
      </c>
      <c r="LW13" s="38">
        <v>-3.8746900000000001E-2</v>
      </c>
      <c r="LX13" s="37">
        <v>94.551249999999996</v>
      </c>
      <c r="LY13" s="39">
        <v>1.1288199999999999</v>
      </c>
      <c r="LZ13" s="39">
        <v>-3.9739999999999998E-2</v>
      </c>
      <c r="MA13" s="36">
        <v>-618875.32180999999</v>
      </c>
      <c r="MB13" s="39">
        <v>1.08908</v>
      </c>
      <c r="MC13" s="38">
        <v>-3.5203000000000005E-2</v>
      </c>
      <c r="MD13" s="37">
        <v>94.780339999999995</v>
      </c>
      <c r="ME13" s="39">
        <v>1.05271</v>
      </c>
      <c r="MF13" s="39">
        <v>-2.528E-2</v>
      </c>
      <c r="MG13" s="36">
        <v>-84868.825809999995</v>
      </c>
      <c r="MH13" s="39">
        <v>1.0274300000000001</v>
      </c>
      <c r="MI13" s="38">
        <v>-2.40136E-2</v>
      </c>
      <c r="MJ13" s="37">
        <v>95.951279999999997</v>
      </c>
      <c r="MK13" s="36">
        <v>0</v>
      </c>
      <c r="ML13" s="36">
        <v>0</v>
      </c>
      <c r="MM13" s="36">
        <v>0</v>
      </c>
      <c r="MN13" s="36">
        <v>0</v>
      </c>
      <c r="MO13" s="36">
        <v>0</v>
      </c>
      <c r="MP13" s="36">
        <v>0</v>
      </c>
      <c r="MQ13" s="36">
        <v>0</v>
      </c>
      <c r="MR13" s="36">
        <v>0</v>
      </c>
      <c r="MS13" s="36">
        <v>0</v>
      </c>
      <c r="MT13" s="37">
        <v>3549</v>
      </c>
      <c r="MU13" s="37">
        <v>-1385</v>
      </c>
      <c r="MV13" s="36">
        <v>-8543045.7601299994</v>
      </c>
      <c r="MW13" s="37">
        <v>2164</v>
      </c>
      <c r="MX13" s="38">
        <v>-0.39025080000000001</v>
      </c>
      <c r="MY13" s="37">
        <v>2850</v>
      </c>
      <c r="MZ13" s="37">
        <v>-1098</v>
      </c>
      <c r="NA13" s="36">
        <v>-6703281.6538699996</v>
      </c>
      <c r="NB13" s="37">
        <v>1752</v>
      </c>
      <c r="NC13" s="38">
        <v>-0.38526319999999997</v>
      </c>
      <c r="ND13" s="37">
        <v>699</v>
      </c>
      <c r="NE13" s="37">
        <v>-287</v>
      </c>
      <c r="NF13" s="36">
        <v>-1845747.8876499999</v>
      </c>
      <c r="NG13" s="37">
        <v>412</v>
      </c>
      <c r="NH13" s="38">
        <v>-0.41058660000000002</v>
      </c>
      <c r="NI13" s="36">
        <v>20045809.989999998</v>
      </c>
      <c r="NJ13" s="36">
        <v>-5284730.9800000004</v>
      </c>
      <c r="NK13" s="36">
        <v>-5284730.9800000004</v>
      </c>
      <c r="NL13" s="36">
        <v>14761079.01</v>
      </c>
      <c r="NM13" s="38">
        <v>-0.2636327</v>
      </c>
      <c r="NN13" s="37">
        <v>72.216620000000006</v>
      </c>
      <c r="NO13" s="36">
        <v>15925613.99</v>
      </c>
      <c r="NP13" s="36">
        <v>-4094950.98</v>
      </c>
      <c r="NQ13" s="36">
        <v>-4094950.98</v>
      </c>
      <c r="NR13" s="36">
        <v>11830663.01</v>
      </c>
      <c r="NS13" s="38">
        <v>-0.25712990000000002</v>
      </c>
      <c r="NT13" s="37">
        <v>73.153390000000002</v>
      </c>
      <c r="NU13" s="36">
        <v>4120196</v>
      </c>
      <c r="NV13" s="36">
        <v>-1189780</v>
      </c>
      <c r="NW13" s="36">
        <v>-1189780</v>
      </c>
      <c r="NX13" s="36">
        <v>2930416</v>
      </c>
      <c r="NY13" s="38">
        <v>-0.28876780000000002</v>
      </c>
      <c r="NZ13" s="37">
        <v>68.16386</v>
      </c>
      <c r="OA13" s="36">
        <v>77396.949770000007</v>
      </c>
      <c r="OB13" s="36">
        <v>3264.68417</v>
      </c>
      <c r="OC13" s="36"/>
      <c r="OD13" s="36">
        <v>80661.633929999996</v>
      </c>
      <c r="OE13" s="38">
        <v>4.2180999999999996E-2</v>
      </c>
      <c r="OF13" s="37">
        <v>98.651089999999996</v>
      </c>
      <c r="OG13" s="36">
        <v>63958.289120000001</v>
      </c>
      <c r="OH13" s="36">
        <v>4427.0461999999998</v>
      </c>
      <c r="OI13" s="36"/>
      <c r="OJ13" s="36">
        <v>68385.335319999998</v>
      </c>
      <c r="OK13" s="38">
        <v>6.9217700000000007E-2</v>
      </c>
      <c r="OL13" s="37">
        <v>101.62573999999999</v>
      </c>
      <c r="OM13" s="36">
        <v>21459.354169999999</v>
      </c>
      <c r="ON13" s="36">
        <v>-224.45562000000001</v>
      </c>
      <c r="OO13" s="36"/>
      <c r="OP13" s="36">
        <v>21234.898550000002</v>
      </c>
      <c r="OQ13" s="38">
        <v>-1.0459599999999999E-2</v>
      </c>
      <c r="OR13" s="37">
        <v>91.536100000000005</v>
      </c>
      <c r="OS13" s="39">
        <v>13.7027</v>
      </c>
      <c r="OT13" s="39">
        <v>-1.87757</v>
      </c>
      <c r="OU13" s="36"/>
      <c r="OV13" s="39">
        <v>11.825139999999999</v>
      </c>
      <c r="OW13" s="38">
        <v>-0.13702159999999999</v>
      </c>
      <c r="OX13" s="37">
        <v>94.46463</v>
      </c>
      <c r="OY13" s="39">
        <v>11.445779999999999</v>
      </c>
      <c r="OZ13" s="39">
        <v>-1.3186199999999999</v>
      </c>
      <c r="PA13" s="36"/>
      <c r="PB13" s="39">
        <v>10.12717</v>
      </c>
      <c r="PC13" s="38">
        <v>-0.1152054</v>
      </c>
      <c r="PD13" s="37">
        <v>96.080150000000003</v>
      </c>
      <c r="PE13" s="39">
        <v>3.6406200000000002</v>
      </c>
      <c r="PF13" s="39">
        <v>-0.65512000000000004</v>
      </c>
      <c r="PG13" s="36"/>
      <c r="PH13" s="39">
        <v>2.9855100000000001</v>
      </c>
      <c r="PI13" s="38">
        <v>-0.17994650000000001</v>
      </c>
      <c r="PJ13" s="37">
        <v>93.34178</v>
      </c>
      <c r="PK13" s="36">
        <v>14373.836579999999</v>
      </c>
      <c r="PL13" s="36">
        <v>-2192.0570400000001</v>
      </c>
      <c r="PM13" s="36"/>
      <c r="PN13" s="36">
        <v>12181.77954</v>
      </c>
      <c r="PO13" s="38">
        <v>-0.15250330000000001</v>
      </c>
      <c r="PP13" s="37"/>
      <c r="PQ13" s="39">
        <v>2.54481</v>
      </c>
      <c r="PR13" s="39">
        <v>-0.75893999999999995</v>
      </c>
      <c r="PS13" s="36"/>
      <c r="PT13" s="39">
        <v>1.7858700000000001</v>
      </c>
      <c r="PU13" s="38">
        <v>-0.29823</v>
      </c>
      <c r="PV13" s="37"/>
      <c r="PW13" s="37">
        <v>3144</v>
      </c>
      <c r="PX13" s="37">
        <v>-1157</v>
      </c>
      <c r="PY13" s="36">
        <v>-7924170.4383300003</v>
      </c>
      <c r="PZ13" s="37">
        <v>1987</v>
      </c>
      <c r="QA13" s="38">
        <v>-0.36800250000000001</v>
      </c>
      <c r="QB13" s="37">
        <v>72.960239999999999</v>
      </c>
      <c r="QC13" s="37">
        <v>2480</v>
      </c>
      <c r="QD13" s="37">
        <v>-894</v>
      </c>
      <c r="QE13" s="36">
        <v>0</v>
      </c>
      <c r="QF13" s="37">
        <v>1586</v>
      </c>
      <c r="QG13" s="38">
        <v>-0.36048389999999997</v>
      </c>
      <c r="QH13" s="37">
        <v>73.147099999999995</v>
      </c>
      <c r="QI13" s="37">
        <v>664</v>
      </c>
      <c r="QJ13" s="37">
        <v>-263</v>
      </c>
      <c r="QK13" s="36">
        <v>-1760879.0618400001</v>
      </c>
      <c r="QL13" s="37">
        <v>401</v>
      </c>
      <c r="QM13" s="38">
        <v>-0.3960843</v>
      </c>
      <c r="QN13" s="37">
        <v>72.441450000000003</v>
      </c>
      <c r="QO13" s="37">
        <v>18685753</v>
      </c>
      <c r="QP13" s="37">
        <v>-1833361</v>
      </c>
      <c r="QQ13" s="36">
        <v>-1783335.9935900001</v>
      </c>
      <c r="QR13" s="37">
        <v>16852392</v>
      </c>
      <c r="QS13" s="38">
        <v>-9.8115400000000005E-2</v>
      </c>
      <c r="QT13" s="37">
        <v>100</v>
      </c>
      <c r="QU13" s="37">
        <v>11772767</v>
      </c>
      <c r="QV13" s="37">
        <v>-934378</v>
      </c>
      <c r="QW13" s="36">
        <v>0</v>
      </c>
      <c r="QX13" s="37">
        <v>10838389</v>
      </c>
      <c r="QY13" s="38">
        <v>-7.9367699999999999E-2</v>
      </c>
      <c r="QZ13" s="37">
        <v>100</v>
      </c>
      <c r="RA13" s="37">
        <v>6912986</v>
      </c>
      <c r="RB13" s="37">
        <v>-898983</v>
      </c>
      <c r="RC13" s="36">
        <v>-486416.61515000003</v>
      </c>
      <c r="RD13" s="37">
        <v>6014003</v>
      </c>
      <c r="RE13" s="38">
        <v>-0.13004260000000001</v>
      </c>
      <c r="RF13" s="37">
        <v>100</v>
      </c>
    </row>
    <row r="16" spans="1:474" ht="16.5" x14ac:dyDescent="0.25">
      <c r="A16" s="25"/>
    </row>
    <row r="18" spans="2:30" x14ac:dyDescent="0.25">
      <c r="B18" s="40" t="s">
        <v>37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spans="2:30" x14ac:dyDescent="0.25">
      <c r="C19" s="19" t="s">
        <v>5</v>
      </c>
      <c r="D19" s="19" t="s">
        <v>23</v>
      </c>
      <c r="E19" s="19" t="s">
        <v>16</v>
      </c>
      <c r="F19" s="19" t="s">
        <v>17</v>
      </c>
      <c r="G19" s="19" t="s">
        <v>31</v>
      </c>
      <c r="H19" s="19" t="s">
        <v>4</v>
      </c>
      <c r="I19" s="19" t="s">
        <v>6</v>
      </c>
      <c r="J19" s="19" t="s">
        <v>24</v>
      </c>
      <c r="K19" s="19" t="s">
        <v>14</v>
      </c>
      <c r="L19" s="19" t="s">
        <v>18</v>
      </c>
      <c r="M19" s="19" t="s">
        <v>32</v>
      </c>
      <c r="N19" s="19"/>
      <c r="Q19" s="19" t="s">
        <v>39</v>
      </c>
      <c r="R19" s="19" t="s">
        <v>5</v>
      </c>
      <c r="U19" s="19" t="s">
        <v>6</v>
      </c>
      <c r="Y19" s="19" t="s">
        <v>22</v>
      </c>
      <c r="Z19" s="19" t="s">
        <v>23</v>
      </c>
      <c r="AC19" s="19" t="s">
        <v>44</v>
      </c>
    </row>
    <row r="20" spans="2:30" x14ac:dyDescent="0.25">
      <c r="B20" s="2" t="s">
        <v>36</v>
      </c>
      <c r="C20" s="4" t="s">
        <v>7</v>
      </c>
      <c r="D20" s="4" t="s">
        <v>10</v>
      </c>
      <c r="E20" s="4" t="s">
        <v>19</v>
      </c>
      <c r="F20" s="4" t="s">
        <v>9</v>
      </c>
      <c r="G20" s="4" t="s">
        <v>30</v>
      </c>
      <c r="H20" s="4" t="s">
        <v>20</v>
      </c>
      <c r="I20" s="4" t="s">
        <v>13</v>
      </c>
      <c r="J20" s="4" t="s">
        <v>25</v>
      </c>
      <c r="K20" s="4" t="s">
        <v>28</v>
      </c>
      <c r="L20" s="4" t="s">
        <v>29</v>
      </c>
      <c r="M20" s="4" t="s">
        <v>21</v>
      </c>
      <c r="N20" s="21"/>
      <c r="P20" s="13"/>
      <c r="Q20" s="4" t="s">
        <v>40</v>
      </c>
      <c r="R20" s="4" t="s">
        <v>41</v>
      </c>
      <c r="S20" s="4" t="s">
        <v>11</v>
      </c>
      <c r="T20" s="4" t="s">
        <v>12</v>
      </c>
      <c r="U20" s="4" t="s">
        <v>13</v>
      </c>
      <c r="V20" s="4" t="s">
        <v>42</v>
      </c>
      <c r="X20" s="13"/>
      <c r="Y20" s="4" t="s">
        <v>40</v>
      </c>
      <c r="Z20" s="4" t="s">
        <v>41</v>
      </c>
      <c r="AA20" s="4" t="s">
        <v>11</v>
      </c>
      <c r="AB20" s="4" t="s">
        <v>12</v>
      </c>
      <c r="AC20" s="4" t="s">
        <v>13</v>
      </c>
      <c r="AD20" s="4" t="s">
        <v>42</v>
      </c>
    </row>
    <row r="21" spans="2:30" x14ac:dyDescent="0.25">
      <c r="B21" s="2" t="str">
        <f>+B2</f>
        <v>Total Axion</v>
      </c>
      <c r="C21" s="14">
        <f>+IFERROR(INDEX($2:$15,MATCH($B21,$B$2:$B$15,0),MATCH(C$19,$A$1:$RF$1,0)),0)</f>
        <v>2174724774.3299999</v>
      </c>
      <c r="D21" s="24">
        <f t="shared" ref="D21:M21" si="0">+IFERROR(INDEX($2:$15,MATCH($B21,$B$2:$B$15,0),MATCH(D$19,$A$1:$RF$1,0)),0)</f>
        <v>203412</v>
      </c>
      <c r="E21" s="24">
        <f t="shared" si="0"/>
        <v>97471</v>
      </c>
      <c r="F21" s="22">
        <f t="shared" si="0"/>
        <v>19362.52089</v>
      </c>
      <c r="G21" s="22">
        <f t="shared" si="0"/>
        <v>10691.231460000001</v>
      </c>
      <c r="H21" s="12">
        <f t="shared" si="0"/>
        <v>329971534.83999997</v>
      </c>
      <c r="I21" s="10">
        <f t="shared" si="0"/>
        <v>0.17887029999999998</v>
      </c>
      <c r="J21" s="10">
        <f t="shared" si="0"/>
        <v>0.20302330000000002</v>
      </c>
      <c r="K21" s="10">
        <f t="shared" si="0"/>
        <v>0.18136640000000001</v>
      </c>
      <c r="L21" s="10">
        <f t="shared" si="0"/>
        <v>-1.3794200000000001E-2</v>
      </c>
      <c r="M21" s="10">
        <f t="shared" si="0"/>
        <v>-2.0076999999999998E-2</v>
      </c>
      <c r="N21" s="11"/>
      <c r="P21" s="16" t="str">
        <f>+B2</f>
        <v>Total Axion</v>
      </c>
      <c r="Q21" s="14">
        <f>+IFERROR(INDEX($2:$15,MATCH($B21,$B$2:$B$15,0),MATCH(Q$19,$A$1:$RF$1,0)),0)</f>
        <v>1844753239.49</v>
      </c>
      <c r="R21" s="14">
        <f>+IFERROR(INDEX($2:$15,MATCH($B21,$B$2:$B$15,0),MATCH(R$19,$A$1:$RF$1,0)),0)</f>
        <v>2174724774.3299999</v>
      </c>
      <c r="S21" s="20">
        <f>+IFERROR(Q21/$Q$31,0)</f>
        <v>0.42887573004210794</v>
      </c>
      <c r="T21" s="20">
        <f>+IFERROR(R21/$R$31,0)</f>
        <v>0.4956504809502606</v>
      </c>
      <c r="U21" s="10">
        <f t="shared" ref="U21:U30" si="1">+IFERROR(INDEX($2:$15,MATCH($B21,$B$2:$B$15,0),MATCH(U$19,$A$1:$RF$1,0)),0)</f>
        <v>0.17887029999999998</v>
      </c>
      <c r="V21" s="18">
        <f>+(T21-S21)*100</f>
        <v>6.6774750908152658</v>
      </c>
      <c r="X21" s="16" t="str">
        <f>+B2</f>
        <v>Total Axion</v>
      </c>
      <c r="Y21" s="23">
        <f>+IFERROR(INDEX($2:$15,MATCH($B21,$B$2:$B$15,0),MATCH(Y$19,$A$1:$RF$1,0)),0)</f>
        <v>169084</v>
      </c>
      <c r="Z21" s="23">
        <f>+IFERROR(INDEX($2:$15,MATCH($B21,$B$2:$B$15,0),MATCH(Z$19,$A$1:$RF$1,0)),0)</f>
        <v>203412</v>
      </c>
      <c r="AA21" s="20">
        <f>+IFERROR(Y21/$Y$31,0)</f>
        <v>0.29786087118896665</v>
      </c>
      <c r="AB21" s="20">
        <f>+IFERROR(Z21/$Z$31,0)</f>
        <v>0.40579247552720982</v>
      </c>
      <c r="AC21" s="10">
        <f t="shared" ref="AC21:AC30" si="2">+IFERROR(INDEX($2:$15,MATCH($B21,$B$2:$B$15,0),MATCH(AC$19,$A$1:$RF$1,0)),0)</f>
        <v>0.20302330000000002</v>
      </c>
      <c r="AD21" s="18">
        <f>+(AB21-AA21)*100</f>
        <v>10.793160433824317</v>
      </c>
    </row>
    <row r="22" spans="2:30" x14ac:dyDescent="0.25">
      <c r="B22" s="2" t="str">
        <f t="shared" ref="B22:B30" si="3">+B3</f>
        <v>Total Blancox Loza Crem</v>
      </c>
      <c r="C22" s="14">
        <f t="shared" ref="C22:M30" si="4">+IFERROR(INDEX($2:$15,MATCH($B22,$B$2:$B$15,0),MATCH(C$19,$A$1:$RF$1,0)),0)</f>
        <v>770461458.03999996</v>
      </c>
      <c r="D22" s="24">
        <f t="shared" si="4"/>
        <v>67118</v>
      </c>
      <c r="E22" s="24">
        <f t="shared" si="4"/>
        <v>47308</v>
      </c>
      <c r="F22" s="22">
        <f t="shared" si="4"/>
        <v>13915.226409999999</v>
      </c>
      <c r="G22" s="22">
        <f t="shared" si="4"/>
        <v>11479.207630000001</v>
      </c>
      <c r="H22" s="12">
        <f t="shared" si="4"/>
        <v>-177679864.99000001</v>
      </c>
      <c r="I22" s="10">
        <f t="shared" si="4"/>
        <v>-0.18739809999999998</v>
      </c>
      <c r="J22" s="10">
        <f t="shared" si="4"/>
        <v>-0.29464560000000001</v>
      </c>
      <c r="K22" s="10">
        <f t="shared" si="4"/>
        <v>-0.26381480000000002</v>
      </c>
      <c r="L22" s="10">
        <f t="shared" si="4"/>
        <v>9.1303099999999998E-2</v>
      </c>
      <c r="M22" s="10">
        <f t="shared" si="4"/>
        <v>0.15204770000000001</v>
      </c>
      <c r="N22" s="11"/>
      <c r="P22" s="16" t="str">
        <f t="shared" ref="P22:P30" si="5">+B3</f>
        <v>Total Blancox Loza Crem</v>
      </c>
      <c r="Q22" s="14">
        <f t="shared" ref="Q22:R30" si="6">+IFERROR(INDEX($2:$15,MATCH($B22,$B$2:$B$15,0),MATCH(Q$19,$A$1:$RF$1,0)),0)</f>
        <v>948141323.02999997</v>
      </c>
      <c r="R22" s="14">
        <f t="shared" si="6"/>
        <v>770461458.03999996</v>
      </c>
      <c r="S22" s="20">
        <f t="shared" ref="S22:S30" si="7">+IFERROR(Q22/$Q$31,0)</f>
        <v>0.22042774794638631</v>
      </c>
      <c r="T22" s="20">
        <f t="shared" ref="T22:T30" si="8">+IFERROR(R22/$R$31,0)</f>
        <v>0.1755990444118688</v>
      </c>
      <c r="U22" s="10">
        <f t="shared" si="1"/>
        <v>-0.18739809999999998</v>
      </c>
      <c r="V22" s="18">
        <f t="shared" ref="V22:V30" si="9">+(T22-S22)*100</f>
        <v>-4.4828703534517516</v>
      </c>
      <c r="X22" s="16" t="str">
        <f t="shared" ref="X22:X30" si="10">+B3</f>
        <v>Total Blancox Loza Crem</v>
      </c>
      <c r="Y22" s="23">
        <f t="shared" ref="Y22:Z30" si="11">+IFERROR(INDEX($2:$15,MATCH($B22,$B$2:$B$15,0),MATCH(Y$19,$A$1:$RF$1,0)),0)</f>
        <v>95155</v>
      </c>
      <c r="Z22" s="23">
        <f t="shared" si="11"/>
        <v>67118</v>
      </c>
      <c r="AA22" s="20">
        <f t="shared" ref="AA22:AA30" si="12">+IFERROR(Y22/$Y$31,0)</f>
        <v>0.16762645311198057</v>
      </c>
      <c r="AB22" s="20">
        <f t="shared" ref="AB22:AB30" si="13">+IFERROR(Z22/$Z$31,0)</f>
        <v>0.13389563729000881</v>
      </c>
      <c r="AC22" s="10">
        <f t="shared" si="2"/>
        <v>-0.29464560000000001</v>
      </c>
      <c r="AD22" s="18">
        <f t="shared" ref="AD22:AD30" si="14">+(AB22-AA22)*100</f>
        <v>-3.3730815821971767</v>
      </c>
    </row>
    <row r="23" spans="2:30" x14ac:dyDescent="0.25">
      <c r="B23" s="2" t="str">
        <f t="shared" si="3"/>
        <v>Total Marca Propia</v>
      </c>
      <c r="C23" s="14">
        <f t="shared" si="4"/>
        <v>579512937.97000003</v>
      </c>
      <c r="D23" s="24">
        <f t="shared" si="4"/>
        <v>176543</v>
      </c>
      <c r="E23" s="24">
        <f t="shared" si="4"/>
        <v>79210</v>
      </c>
      <c r="F23" s="22">
        <f t="shared" si="4"/>
        <v>5815.0124699999997</v>
      </c>
      <c r="G23" s="22">
        <f t="shared" si="4"/>
        <v>3282.5596999999998</v>
      </c>
      <c r="H23" s="12">
        <f t="shared" si="4"/>
        <v>-115268075.12</v>
      </c>
      <c r="I23" s="10">
        <f t="shared" si="4"/>
        <v>-0.16590559999999999</v>
      </c>
      <c r="J23" s="10">
        <f t="shared" si="4"/>
        <v>-0.25308849999999999</v>
      </c>
      <c r="K23" s="10">
        <f t="shared" si="4"/>
        <v>-0.24625789999999997</v>
      </c>
      <c r="L23" s="10">
        <f t="shared" si="4"/>
        <v>0.1111356</v>
      </c>
      <c r="M23" s="10">
        <f t="shared" si="4"/>
        <v>0.11672440000000001</v>
      </c>
      <c r="N23" s="11"/>
      <c r="P23" s="16" t="str">
        <f t="shared" si="5"/>
        <v>Total Marca Propia</v>
      </c>
      <c r="Q23" s="14">
        <f t="shared" si="6"/>
        <v>694781013.09000003</v>
      </c>
      <c r="R23" s="14">
        <f t="shared" si="6"/>
        <v>579512937.97000003</v>
      </c>
      <c r="S23" s="20">
        <f t="shared" si="7"/>
        <v>0.16152551345606914</v>
      </c>
      <c r="T23" s="20">
        <f t="shared" si="8"/>
        <v>0.13207918069090932</v>
      </c>
      <c r="U23" s="10">
        <f t="shared" si="1"/>
        <v>-0.16590559999999999</v>
      </c>
      <c r="V23" s="18">
        <f t="shared" si="9"/>
        <v>-2.9446332765159817</v>
      </c>
      <c r="X23" s="16" t="str">
        <f t="shared" si="10"/>
        <v>Total Marca Propia</v>
      </c>
      <c r="Y23" s="23">
        <f t="shared" si="11"/>
        <v>236364</v>
      </c>
      <c r="Z23" s="23">
        <f t="shared" si="11"/>
        <v>176543</v>
      </c>
      <c r="AA23" s="20">
        <f t="shared" si="12"/>
        <v>0.41638231268309783</v>
      </c>
      <c r="AB23" s="20">
        <f t="shared" si="13"/>
        <v>0.35219073116138777</v>
      </c>
      <c r="AC23" s="10">
        <f t="shared" si="2"/>
        <v>-0.25308849999999999</v>
      </c>
      <c r="AD23" s="18">
        <f t="shared" si="14"/>
        <v>-6.4191581521710059</v>
      </c>
    </row>
    <row r="24" spans="2:30" x14ac:dyDescent="0.25">
      <c r="B24" s="2" t="str">
        <f t="shared" si="3"/>
        <v>Total Dersa</v>
      </c>
      <c r="C24" s="14">
        <f t="shared" si="4"/>
        <v>301551226.00999999</v>
      </c>
      <c r="D24" s="24">
        <f t="shared" si="4"/>
        <v>17851</v>
      </c>
      <c r="E24" s="24">
        <f t="shared" si="4"/>
        <v>12719</v>
      </c>
      <c r="F24" s="22">
        <f t="shared" si="4"/>
        <v>20383.234769999999</v>
      </c>
      <c r="G24" s="22">
        <f t="shared" si="4"/>
        <v>16892.67974</v>
      </c>
      <c r="H24" s="12">
        <f t="shared" si="4"/>
        <v>70917866.069999993</v>
      </c>
      <c r="I24" s="10">
        <f t="shared" si="4"/>
        <v>0.30749179999999998</v>
      </c>
      <c r="J24" s="10">
        <f t="shared" si="4"/>
        <v>-1.8150800000000002E-2</v>
      </c>
      <c r="K24" s="10">
        <f t="shared" si="4"/>
        <v>-1.2959799999999999E-2</v>
      </c>
      <c r="L24" s="10">
        <f t="shared" si="4"/>
        <v>0.28100320000000001</v>
      </c>
      <c r="M24" s="10">
        <f t="shared" si="4"/>
        <v>0.33166260000000003</v>
      </c>
      <c r="N24" s="11"/>
      <c r="P24" s="16" t="str">
        <f t="shared" si="5"/>
        <v>Total Dersa</v>
      </c>
      <c r="Q24" s="14">
        <f t="shared" si="6"/>
        <v>230633359.94</v>
      </c>
      <c r="R24" s="14">
        <f t="shared" si="6"/>
        <v>301551226.00999999</v>
      </c>
      <c r="S24" s="20">
        <f t="shared" si="7"/>
        <v>5.3618580793861205E-2</v>
      </c>
      <c r="T24" s="20">
        <f t="shared" si="8"/>
        <v>6.8727782001308579E-2</v>
      </c>
      <c r="U24" s="10">
        <f t="shared" si="1"/>
        <v>0.30749179999999998</v>
      </c>
      <c r="V24" s="18">
        <f t="shared" si="9"/>
        <v>1.5109201207447374</v>
      </c>
      <c r="X24" s="16" t="str">
        <f t="shared" si="10"/>
        <v>Total Dersa</v>
      </c>
      <c r="Y24" s="23">
        <f t="shared" si="11"/>
        <v>18181</v>
      </c>
      <c r="Z24" s="23">
        <f t="shared" si="11"/>
        <v>17851</v>
      </c>
      <c r="AA24" s="20">
        <f t="shared" si="12"/>
        <v>3.2027918070820435E-2</v>
      </c>
      <c r="AB24" s="20">
        <f t="shared" si="13"/>
        <v>3.5611475628951207E-2</v>
      </c>
      <c r="AC24" s="10">
        <f t="shared" si="2"/>
        <v>-1.8150800000000002E-2</v>
      </c>
      <c r="AD24" s="18">
        <f t="shared" si="14"/>
        <v>0.35835575581307721</v>
      </c>
    </row>
    <row r="25" spans="2:30" x14ac:dyDescent="0.25">
      <c r="B25" s="2" t="str">
        <f t="shared" si="3"/>
        <v>Total TLD</v>
      </c>
      <c r="C25" s="14">
        <f t="shared" si="4"/>
        <v>220827200.99000001</v>
      </c>
      <c r="D25" s="24">
        <f t="shared" si="4"/>
        <v>19074</v>
      </c>
      <c r="E25" s="24">
        <f t="shared" si="4"/>
        <v>10441</v>
      </c>
      <c r="F25" s="22">
        <f t="shared" si="4"/>
        <v>16539.354179999998</v>
      </c>
      <c r="G25" s="22">
        <f t="shared" si="4"/>
        <v>11577.39336</v>
      </c>
      <c r="H25" s="12">
        <f t="shared" si="4"/>
        <v>9208491.9800000004</v>
      </c>
      <c r="I25" s="10">
        <f t="shared" si="4"/>
        <v>4.3514499999999998E-2</v>
      </c>
      <c r="J25" s="10">
        <f t="shared" si="4"/>
        <v>-0.26857890000000001</v>
      </c>
      <c r="K25" s="10">
        <f t="shared" si="4"/>
        <v>-0.26279740000000001</v>
      </c>
      <c r="L25" s="10">
        <f t="shared" si="4"/>
        <v>0.4111245</v>
      </c>
      <c r="M25" s="10">
        <f t="shared" si="4"/>
        <v>0.42669460000000003</v>
      </c>
      <c r="N25" s="11"/>
      <c r="P25" s="16" t="str">
        <f t="shared" si="5"/>
        <v>Total TLD</v>
      </c>
      <c r="Q25" s="14">
        <f t="shared" si="6"/>
        <v>211618709.00999999</v>
      </c>
      <c r="R25" s="14">
        <f t="shared" si="6"/>
        <v>220827200.99000001</v>
      </c>
      <c r="S25" s="20">
        <f t="shared" si="7"/>
        <v>4.9197977471676986E-2</v>
      </c>
      <c r="T25" s="20">
        <f t="shared" si="8"/>
        <v>5.0329636958917817E-2</v>
      </c>
      <c r="U25" s="10">
        <f t="shared" si="1"/>
        <v>4.3514499999999998E-2</v>
      </c>
      <c r="V25" s="18">
        <f t="shared" si="9"/>
        <v>0.11316594872408312</v>
      </c>
      <c r="X25" s="16" t="str">
        <f t="shared" si="10"/>
        <v>Total TLD</v>
      </c>
      <c r="Y25" s="23">
        <f t="shared" si="11"/>
        <v>26078</v>
      </c>
      <c r="Z25" s="23">
        <f t="shared" si="11"/>
        <v>19074</v>
      </c>
      <c r="AA25" s="20">
        <f t="shared" si="12"/>
        <v>4.5939389882341752E-2</v>
      </c>
      <c r="AB25" s="20">
        <f t="shared" si="13"/>
        <v>3.8051273662350303E-2</v>
      </c>
      <c r="AC25" s="10">
        <f t="shared" si="2"/>
        <v>-0.26857890000000001</v>
      </c>
      <c r="AD25" s="18">
        <f t="shared" si="14"/>
        <v>-0.7888116219991449</v>
      </c>
    </row>
    <row r="26" spans="2:30" x14ac:dyDescent="0.25">
      <c r="B26" s="2" t="str">
        <f t="shared" si="3"/>
        <v>Total Cascade</v>
      </c>
      <c r="C26" s="14">
        <f t="shared" si="4"/>
        <v>95339549</v>
      </c>
      <c r="D26" s="24">
        <f t="shared" si="4"/>
        <v>1354</v>
      </c>
      <c r="E26" s="24">
        <f t="shared" si="4"/>
        <v>873</v>
      </c>
      <c r="F26" s="22">
        <f t="shared" si="4"/>
        <v>90035.869420000003</v>
      </c>
      <c r="G26" s="22">
        <f t="shared" si="4"/>
        <v>70413.256280000001</v>
      </c>
      <c r="H26" s="12">
        <f t="shared" si="4"/>
        <v>-8427380</v>
      </c>
      <c r="I26" s="10">
        <f t="shared" si="4"/>
        <v>-8.1214499999999995E-2</v>
      </c>
      <c r="J26" s="10">
        <f t="shared" si="4"/>
        <v>-0.36758519999999995</v>
      </c>
      <c r="K26" s="10">
        <f t="shared" si="4"/>
        <v>-0.2885086</v>
      </c>
      <c r="L26" s="10">
        <f t="shared" si="4"/>
        <v>0.26445730000000001</v>
      </c>
      <c r="M26" s="10">
        <f t="shared" si="4"/>
        <v>0.45282110000000003</v>
      </c>
      <c r="N26" s="11"/>
      <c r="P26" s="16" t="str">
        <f t="shared" si="5"/>
        <v>Total Cascade</v>
      </c>
      <c r="Q26" s="14">
        <f t="shared" si="6"/>
        <v>103766929</v>
      </c>
      <c r="R26" s="14">
        <f t="shared" si="6"/>
        <v>95339549</v>
      </c>
      <c r="S26" s="20">
        <f t="shared" si="7"/>
        <v>2.4124157354186788E-2</v>
      </c>
      <c r="T26" s="20">
        <f t="shared" si="8"/>
        <v>2.1729229313621777E-2</v>
      </c>
      <c r="U26" s="10">
        <f t="shared" si="1"/>
        <v>-8.1214499999999995E-2</v>
      </c>
      <c r="V26" s="18">
        <f t="shared" si="9"/>
        <v>-0.23949280405650109</v>
      </c>
      <c r="X26" s="16" t="str">
        <f t="shared" si="10"/>
        <v>Total Cascade</v>
      </c>
      <c r="Y26" s="23">
        <f t="shared" si="11"/>
        <v>2141</v>
      </c>
      <c r="Z26" s="23">
        <f t="shared" si="11"/>
        <v>1354</v>
      </c>
      <c r="AA26" s="20">
        <f t="shared" si="12"/>
        <v>3.7716172152041445E-3</v>
      </c>
      <c r="AB26" s="20">
        <f t="shared" si="13"/>
        <v>2.7011337180886186E-3</v>
      </c>
      <c r="AC26" s="10">
        <f t="shared" si="2"/>
        <v>-0.36758519999999995</v>
      </c>
      <c r="AD26" s="18">
        <f t="shared" si="14"/>
        <v>-0.1070483497115526</v>
      </c>
    </row>
    <row r="27" spans="2:30" x14ac:dyDescent="0.25">
      <c r="B27" s="2" t="str">
        <f t="shared" si="3"/>
        <v>Total Lava Mil</v>
      </c>
      <c r="C27" s="14">
        <f t="shared" si="4"/>
        <v>70383594</v>
      </c>
      <c r="D27" s="24">
        <f t="shared" si="4"/>
        <v>6566</v>
      </c>
      <c r="E27" s="24">
        <f t="shared" si="4"/>
        <v>5386</v>
      </c>
      <c r="F27" s="22">
        <f t="shared" si="4"/>
        <v>11501.237649999999</v>
      </c>
      <c r="G27" s="22">
        <f t="shared" si="4"/>
        <v>10719.40207</v>
      </c>
      <c r="H27" s="12">
        <f t="shared" si="4"/>
        <v>-9515316</v>
      </c>
      <c r="I27" s="10">
        <f t="shared" si="4"/>
        <v>-0.1190919</v>
      </c>
      <c r="J27" s="10">
        <f t="shared" si="4"/>
        <v>-0.27198139999999998</v>
      </c>
      <c r="K27" s="10">
        <f t="shared" si="4"/>
        <v>-0.22980119999999998</v>
      </c>
      <c r="L27" s="10">
        <f t="shared" si="4"/>
        <v>0.20632500000000001</v>
      </c>
      <c r="M27" s="10">
        <f t="shared" si="4"/>
        <v>0.21000759999999999</v>
      </c>
      <c r="N27" s="11"/>
      <c r="P27" s="16" t="str">
        <f t="shared" si="5"/>
        <v>Total Lava Mil</v>
      </c>
      <c r="Q27" s="14">
        <f t="shared" si="6"/>
        <v>79898910</v>
      </c>
      <c r="R27" s="14">
        <f t="shared" si="6"/>
        <v>70383594</v>
      </c>
      <c r="S27" s="20">
        <f t="shared" si="7"/>
        <v>1.8575223299400218E-2</v>
      </c>
      <c r="T27" s="20">
        <f t="shared" si="8"/>
        <v>1.6041414816665996E-2</v>
      </c>
      <c r="U27" s="10">
        <f t="shared" si="1"/>
        <v>-0.1190919</v>
      </c>
      <c r="V27" s="18">
        <f t="shared" si="9"/>
        <v>-0.25338084827342228</v>
      </c>
      <c r="X27" s="16" t="str">
        <f t="shared" si="10"/>
        <v>Total Lava Mil</v>
      </c>
      <c r="Y27" s="23">
        <f t="shared" si="11"/>
        <v>9019</v>
      </c>
      <c r="Z27" s="23">
        <f t="shared" si="11"/>
        <v>6566</v>
      </c>
      <c r="AA27" s="20">
        <f t="shared" si="12"/>
        <v>1.5888003579601205E-2</v>
      </c>
      <c r="AB27" s="20">
        <f t="shared" si="13"/>
        <v>1.3098703096728117E-2</v>
      </c>
      <c r="AC27" s="10">
        <f t="shared" si="2"/>
        <v>-0.27198139999999998</v>
      </c>
      <c r="AD27" s="18">
        <f t="shared" si="14"/>
        <v>-0.27893004828730883</v>
      </c>
    </row>
    <row r="28" spans="2:30" x14ac:dyDescent="0.25">
      <c r="B28" s="2" t="str">
        <f t="shared" si="3"/>
        <v>Total Otras Marcas</v>
      </c>
      <c r="C28" s="14">
        <f t="shared" si="4"/>
        <v>61374938.990000002</v>
      </c>
      <c r="D28" s="24">
        <f t="shared" si="4"/>
        <v>5710</v>
      </c>
      <c r="E28" s="24">
        <f t="shared" si="4"/>
        <v>3870</v>
      </c>
      <c r="F28" s="22">
        <f t="shared" si="4"/>
        <v>13641.82661</v>
      </c>
      <c r="G28" s="22">
        <f t="shared" si="4"/>
        <v>10748.67583</v>
      </c>
      <c r="H28" s="12">
        <f t="shared" si="4"/>
        <v>-20890298.02</v>
      </c>
      <c r="I28" s="10">
        <f t="shared" si="4"/>
        <v>-0.25393830000000001</v>
      </c>
      <c r="J28" s="10">
        <f t="shared" si="4"/>
        <v>-0.33604649999999997</v>
      </c>
      <c r="K28" s="10">
        <f t="shared" si="4"/>
        <v>-0.26690659999999999</v>
      </c>
      <c r="L28" s="10">
        <f t="shared" si="4"/>
        <v>0.1162764</v>
      </c>
      <c r="M28" s="10">
        <f t="shared" si="4"/>
        <v>0.1236655</v>
      </c>
      <c r="N28" s="11"/>
      <c r="P28" s="16" t="str">
        <f t="shared" si="5"/>
        <v>Total Otras Marcas</v>
      </c>
      <c r="Q28" s="14">
        <f t="shared" si="6"/>
        <v>82265237.010000005</v>
      </c>
      <c r="R28" s="14">
        <f t="shared" si="6"/>
        <v>61374938.990000002</v>
      </c>
      <c r="S28" s="20">
        <f t="shared" si="7"/>
        <v>1.912535661924341E-2</v>
      </c>
      <c r="T28" s="20">
        <f t="shared" si="8"/>
        <v>1.3988215146929803E-2</v>
      </c>
      <c r="U28" s="10">
        <f t="shared" si="1"/>
        <v>-0.25393830000000001</v>
      </c>
      <c r="V28" s="18">
        <f t="shared" si="9"/>
        <v>-0.51371414723136066</v>
      </c>
      <c r="X28" s="16" t="str">
        <f t="shared" si="10"/>
        <v>Total Otras Marcas</v>
      </c>
      <c r="Y28" s="23">
        <f t="shared" si="11"/>
        <v>8600</v>
      </c>
      <c r="Z28" s="23">
        <f t="shared" si="11"/>
        <v>5710</v>
      </c>
      <c r="AA28" s="20">
        <f t="shared" si="12"/>
        <v>1.5149886992412724E-2</v>
      </c>
      <c r="AB28" s="20">
        <f t="shared" si="13"/>
        <v>1.1391043966237824E-2</v>
      </c>
      <c r="AC28" s="10">
        <f t="shared" si="2"/>
        <v>-0.33604649999999997</v>
      </c>
      <c r="AD28" s="18">
        <f t="shared" si="14"/>
        <v>-0.37588430261749006</v>
      </c>
    </row>
    <row r="29" spans="2:30" x14ac:dyDescent="0.25">
      <c r="B29" s="2" t="str">
        <f t="shared" si="3"/>
        <v>Total Binner</v>
      </c>
      <c r="C29" s="14">
        <f t="shared" si="4"/>
        <v>57527408.009999998</v>
      </c>
      <c r="D29" s="24">
        <f t="shared" si="4"/>
        <v>2264</v>
      </c>
      <c r="E29" s="24">
        <f t="shared" si="4"/>
        <v>1406</v>
      </c>
      <c r="F29" s="22">
        <f t="shared" si="4"/>
        <v>32499.149369999999</v>
      </c>
      <c r="G29" s="22">
        <f t="shared" si="4"/>
        <v>25409.632509999999</v>
      </c>
      <c r="H29" s="12">
        <f t="shared" si="4"/>
        <v>12861499.01</v>
      </c>
      <c r="I29" s="10">
        <f t="shared" si="4"/>
        <v>0.28794890000000001</v>
      </c>
      <c r="J29" s="10">
        <f t="shared" si="4"/>
        <v>0.30264669999999999</v>
      </c>
      <c r="K29" s="10">
        <f t="shared" si="4"/>
        <v>0.16874479999999997</v>
      </c>
      <c r="L29" s="10">
        <f t="shared" si="4"/>
        <v>3.2454400000000001E-2</v>
      </c>
      <c r="M29" s="10">
        <f t="shared" si="4"/>
        <v>-1.1283099999999999E-2</v>
      </c>
      <c r="N29" s="11"/>
      <c r="P29" s="16" t="str">
        <f t="shared" si="5"/>
        <v>Total Binner</v>
      </c>
      <c r="Q29" s="14">
        <f t="shared" si="6"/>
        <v>44665909</v>
      </c>
      <c r="R29" s="14">
        <f t="shared" si="6"/>
        <v>57527408.009999998</v>
      </c>
      <c r="S29" s="20">
        <f t="shared" si="7"/>
        <v>1.0384112042901336E-2</v>
      </c>
      <c r="T29" s="20">
        <f t="shared" si="8"/>
        <v>1.3111308513401634E-2</v>
      </c>
      <c r="U29" s="10">
        <f t="shared" si="1"/>
        <v>0.28794890000000001</v>
      </c>
      <c r="V29" s="18">
        <f t="shared" si="9"/>
        <v>0.27271964705002977</v>
      </c>
      <c r="X29" s="16" t="str">
        <f t="shared" si="10"/>
        <v>Total Binner</v>
      </c>
      <c r="Y29" s="23">
        <f t="shared" si="11"/>
        <v>1738</v>
      </c>
      <c r="Z29" s="23">
        <f t="shared" si="11"/>
        <v>2264</v>
      </c>
      <c r="AA29" s="20">
        <f t="shared" si="12"/>
        <v>3.0616864642806184E-3</v>
      </c>
      <c r="AB29" s="20">
        <f t="shared" si="13"/>
        <v>4.5165190086799353E-3</v>
      </c>
      <c r="AC29" s="10">
        <f t="shared" si="2"/>
        <v>0.30264669999999999</v>
      </c>
      <c r="AD29" s="18">
        <f t="shared" si="14"/>
        <v>0.14548325443993171</v>
      </c>
    </row>
    <row r="30" spans="2:30" x14ac:dyDescent="0.25">
      <c r="B30" s="2" t="str">
        <f t="shared" si="3"/>
        <v>Total Finish</v>
      </c>
      <c r="C30" s="14">
        <f t="shared" si="4"/>
        <v>55914514</v>
      </c>
      <c r="D30" s="24">
        <f t="shared" si="4"/>
        <v>1379</v>
      </c>
      <c r="E30" s="24">
        <f t="shared" si="4"/>
        <v>845</v>
      </c>
      <c r="F30" s="22">
        <f t="shared" si="4"/>
        <v>50814.500590000003</v>
      </c>
      <c r="G30" s="22">
        <f t="shared" si="4"/>
        <v>40547.145759999999</v>
      </c>
      <c r="H30" s="12">
        <f t="shared" si="4"/>
        <v>-4930951</v>
      </c>
      <c r="I30" s="10">
        <f t="shared" si="4"/>
        <v>-8.1040600000000004E-2</v>
      </c>
      <c r="J30" s="10">
        <f t="shared" si="4"/>
        <v>5.9953900000000004E-2</v>
      </c>
      <c r="K30" s="10">
        <f t="shared" si="4"/>
        <v>8.3531999999999999E-3</v>
      </c>
      <c r="L30" s="10">
        <f t="shared" si="4"/>
        <v>-7.10678E-2</v>
      </c>
      <c r="M30" s="10">
        <f t="shared" si="4"/>
        <v>-0.13301940000000001</v>
      </c>
      <c r="N30" s="11"/>
      <c r="P30" s="16" t="str">
        <f t="shared" si="5"/>
        <v>Total Finish</v>
      </c>
      <c r="Q30" s="14">
        <f t="shared" si="6"/>
        <v>60845465</v>
      </c>
      <c r="R30" s="14">
        <f t="shared" si="6"/>
        <v>55914514</v>
      </c>
      <c r="S30" s="20">
        <f t="shared" si="7"/>
        <v>1.4145600974166488E-2</v>
      </c>
      <c r="T30" s="20">
        <f t="shared" si="8"/>
        <v>1.2743707196115594E-2</v>
      </c>
      <c r="U30" s="10">
        <f t="shared" si="1"/>
        <v>-8.1040600000000004E-2</v>
      </c>
      <c r="V30" s="18">
        <f t="shared" si="9"/>
        <v>-0.14018937780508942</v>
      </c>
      <c r="X30" s="16" t="str">
        <f t="shared" si="10"/>
        <v>Total Finish</v>
      </c>
      <c r="Y30" s="23">
        <f t="shared" si="11"/>
        <v>1301</v>
      </c>
      <c r="Z30" s="23">
        <f t="shared" si="11"/>
        <v>1379</v>
      </c>
      <c r="AA30" s="20">
        <f t="shared" si="12"/>
        <v>2.2918608112940646E-3</v>
      </c>
      <c r="AB30" s="20">
        <f t="shared" si="13"/>
        <v>2.7510069403576111E-3</v>
      </c>
      <c r="AC30" s="10">
        <f t="shared" si="2"/>
        <v>5.9953900000000004E-2</v>
      </c>
      <c r="AD30" s="18">
        <f t="shared" si="14"/>
        <v>4.5914612906354645E-2</v>
      </c>
    </row>
    <row r="31" spans="2:30" x14ac:dyDescent="0.25">
      <c r="B31" s="5"/>
      <c r="C31" s="6"/>
      <c r="P31" s="13" t="s">
        <v>43</v>
      </c>
      <c r="Q31" s="26">
        <f>+SUM(Q21:Q30)</f>
        <v>4301370094.5700006</v>
      </c>
      <c r="R31" s="26">
        <f>+SUM(R21:R30)</f>
        <v>4387617601.3400002</v>
      </c>
      <c r="S31" s="17"/>
      <c r="T31" s="17"/>
      <c r="U31" s="17"/>
      <c r="V31" s="17"/>
      <c r="X31" s="13" t="s">
        <v>43</v>
      </c>
      <c r="Y31" s="23">
        <f>+SUM(Y21:Y30)</f>
        <v>567661</v>
      </c>
      <c r="Z31" s="23">
        <f>+SUM(Z21:Z30)</f>
        <v>501271</v>
      </c>
      <c r="AA31" s="17"/>
      <c r="AB31" s="17"/>
      <c r="AC31" s="17"/>
      <c r="AD31" s="17"/>
    </row>
    <row r="32" spans="2:30" x14ac:dyDescent="0.25">
      <c r="B32" s="5"/>
      <c r="C32" s="6"/>
      <c r="D32" s="6"/>
      <c r="E32" s="7"/>
      <c r="Q32" s="8"/>
      <c r="R32" s="8"/>
      <c r="S32" s="9"/>
      <c r="T32" s="9"/>
    </row>
    <row r="33" spans="2:21" x14ac:dyDescent="0.25">
      <c r="B33" s="5"/>
      <c r="C33" s="6"/>
      <c r="D33" s="6"/>
      <c r="E33" s="7"/>
      <c r="Q33" s="8"/>
      <c r="R33" s="8"/>
      <c r="S33" s="9"/>
      <c r="T33" s="9"/>
    </row>
    <row r="34" spans="2:21" x14ac:dyDescent="0.25">
      <c r="B34" s="5"/>
      <c r="C34" s="6"/>
      <c r="D34" s="6"/>
      <c r="E34" s="7"/>
      <c r="Q34" s="8"/>
      <c r="R34" s="8"/>
      <c r="S34" s="9"/>
      <c r="T34" s="9"/>
      <c r="U34" s="15"/>
    </row>
    <row r="35" spans="2:21" x14ac:dyDescent="0.25">
      <c r="B35" s="5"/>
      <c r="C35" s="6"/>
      <c r="D35" s="6"/>
      <c r="E35" s="7"/>
      <c r="Q35" s="8"/>
      <c r="R35" s="8"/>
      <c r="S35" s="9"/>
      <c r="T35" s="9"/>
    </row>
    <row r="36" spans="2:21" x14ac:dyDescent="0.25">
      <c r="B36" s="41" t="s">
        <v>38</v>
      </c>
      <c r="C36" s="41"/>
      <c r="D36" s="41"/>
      <c r="E36" s="41"/>
      <c r="F36" s="41"/>
      <c r="G36" s="41"/>
      <c r="Q36" s="8"/>
      <c r="R36" s="8"/>
      <c r="S36" s="9"/>
      <c r="T36" s="9"/>
    </row>
    <row r="37" spans="2:21" x14ac:dyDescent="0.25">
      <c r="B37" s="1"/>
      <c r="C37" s="19" t="s">
        <v>2</v>
      </c>
      <c r="D37" s="19" t="s">
        <v>1</v>
      </c>
      <c r="E37" s="19" t="s">
        <v>3</v>
      </c>
      <c r="F37" s="19" t="s">
        <v>0</v>
      </c>
      <c r="G37" s="19" t="s">
        <v>15</v>
      </c>
      <c r="Q37" s="8"/>
      <c r="R37" s="8"/>
      <c r="S37" s="9"/>
      <c r="T37" s="9"/>
    </row>
    <row r="38" spans="2:21" x14ac:dyDescent="0.25">
      <c r="B38" s="3" t="s">
        <v>36</v>
      </c>
      <c r="C38" s="2" t="s">
        <v>26</v>
      </c>
      <c r="D38" s="2" t="s">
        <v>8</v>
      </c>
      <c r="E38" s="2" t="s">
        <v>30</v>
      </c>
      <c r="F38" s="2" t="s">
        <v>33</v>
      </c>
      <c r="G38" s="2" t="s">
        <v>27</v>
      </c>
      <c r="Q38" s="8"/>
      <c r="R38" s="8"/>
      <c r="S38" s="9"/>
      <c r="T38" s="9"/>
    </row>
    <row r="39" spans="2:21" x14ac:dyDescent="0.25">
      <c r="B39" s="3" t="str">
        <f>+B2</f>
        <v>Total Axion</v>
      </c>
      <c r="C39" s="12">
        <f>+IFERROR(INDEX($2:$15,MATCH($B39,$B$2:$B$15,0),MATCH(C$37,$A$1:$RF$1,0)),0)</f>
        <v>367720745.12919003</v>
      </c>
      <c r="D39" s="12">
        <f t="shared" ref="D39:G39" si="15">+IFERROR(INDEX($2:$15,MATCH($B39,$B$2:$B$15,0),MATCH(D$37,$A$1:$RF$1,0)),0)</f>
        <v>6163086.6787</v>
      </c>
      <c r="E39" s="12">
        <f t="shared" si="15"/>
        <v>-41859332.878559999</v>
      </c>
      <c r="F39" s="12">
        <f t="shared" si="15"/>
        <v>-76014613.606089994</v>
      </c>
      <c r="G39" s="12">
        <f t="shared" si="15"/>
        <v>11385838.606760001</v>
      </c>
      <c r="Q39" s="8"/>
      <c r="R39" s="8"/>
      <c r="S39" s="9"/>
      <c r="T39" s="9"/>
    </row>
    <row r="40" spans="2:21" x14ac:dyDescent="0.25">
      <c r="B40" s="3" t="str">
        <f t="shared" ref="B40:B48" si="16">+B3</f>
        <v>Total Blancox Loza Crem</v>
      </c>
      <c r="C40" s="12">
        <f t="shared" ref="C40:G48" si="17">+IFERROR(INDEX($2:$15,MATCH($B40,$B$2:$B$15,0),MATCH(C$37,$A$1:$RF$1,0)),0)</f>
        <v>-193427708.90377</v>
      </c>
      <c r="D40" s="12">
        <f t="shared" si="17"/>
        <v>-5654946.1460199999</v>
      </c>
      <c r="E40" s="12">
        <f t="shared" si="17"/>
        <v>100867783.68002</v>
      </c>
      <c r="F40" s="12">
        <f t="shared" si="17"/>
        <v>-31962365.964090001</v>
      </c>
      <c r="G40" s="12">
        <f t="shared" si="17"/>
        <v>-30914438.646129999</v>
      </c>
      <c r="Q40" s="8"/>
      <c r="R40" s="8"/>
      <c r="S40" s="9"/>
      <c r="T40" s="9"/>
    </row>
    <row r="41" spans="2:21" x14ac:dyDescent="0.25">
      <c r="B41" s="3" t="str">
        <f t="shared" si="16"/>
        <v>Total Marca Propia</v>
      </c>
      <c r="C41" s="12">
        <f t="shared" si="17"/>
        <v>-120586231.02325</v>
      </c>
      <c r="D41" s="12">
        <f t="shared" si="17"/>
        <v>-3903294.8337900001</v>
      </c>
      <c r="E41" s="12">
        <f t="shared" si="17"/>
        <v>53129501.50096</v>
      </c>
      <c r="F41" s="12">
        <f t="shared" si="17"/>
        <v>-21888608.566610001</v>
      </c>
      <c r="G41" s="12">
        <f t="shared" si="17"/>
        <v>3883410.7626899998</v>
      </c>
      <c r="Q41" s="8"/>
      <c r="R41" s="8"/>
      <c r="S41" s="9"/>
      <c r="T41" s="9"/>
    </row>
    <row r="42" spans="2:21" x14ac:dyDescent="0.25">
      <c r="B42" s="3" t="str">
        <f t="shared" si="16"/>
        <v>Total Dersa</v>
      </c>
      <c r="C42" s="12">
        <f t="shared" si="17"/>
        <v>7022296.1289799996</v>
      </c>
      <c r="D42" s="12">
        <f t="shared" si="17"/>
        <v>-1205297.2441100001</v>
      </c>
      <c r="E42" s="12">
        <f t="shared" si="17"/>
        <v>61695563.70623</v>
      </c>
      <c r="F42" s="12">
        <f t="shared" si="17"/>
        <v>-10036737.64115</v>
      </c>
      <c r="G42" s="12">
        <f t="shared" si="17"/>
        <v>-3262611.89995</v>
      </c>
    </row>
    <row r="43" spans="2:21" x14ac:dyDescent="0.25">
      <c r="B43" s="3" t="str">
        <f t="shared" si="16"/>
        <v>Total TLD</v>
      </c>
      <c r="C43" s="12">
        <f t="shared" si="17"/>
        <v>-44270900.527510002</v>
      </c>
      <c r="D43" s="12">
        <f t="shared" si="17"/>
        <v>380765.67456000001</v>
      </c>
      <c r="E43" s="12">
        <f t="shared" si="17"/>
        <v>56865805.788039997</v>
      </c>
      <c r="F43" s="12">
        <f t="shared" si="17"/>
        <v>-7354045.8212900003</v>
      </c>
      <c r="G43" s="12">
        <f t="shared" si="17"/>
        <v>1065629.8762000001</v>
      </c>
    </row>
    <row r="44" spans="2:21" x14ac:dyDescent="0.25">
      <c r="B44" s="3" t="str">
        <f t="shared" si="16"/>
        <v>Total Cascade</v>
      </c>
      <c r="C44" s="12">
        <f t="shared" si="17"/>
        <v>-24620250.670820002</v>
      </c>
      <c r="D44" s="12">
        <f t="shared" si="17"/>
        <v>-1005376.59321</v>
      </c>
      <c r="E44" s="12">
        <f t="shared" si="17"/>
        <v>30335798.287670001</v>
      </c>
      <c r="F44" s="12">
        <f t="shared" si="17"/>
        <v>-3600881.0743300002</v>
      </c>
      <c r="G44" s="12">
        <f t="shared" si="17"/>
        <v>-9876692.9493099991</v>
      </c>
    </row>
    <row r="45" spans="2:21" x14ac:dyDescent="0.25">
      <c r="B45" s="3" t="str">
        <f t="shared" si="16"/>
        <v>Total Lava Mil</v>
      </c>
      <c r="C45" s="12">
        <f t="shared" si="17"/>
        <v>-13992080.61712</v>
      </c>
      <c r="D45" s="12">
        <f t="shared" si="17"/>
        <v>92509.843280000001</v>
      </c>
      <c r="E45" s="12">
        <f t="shared" si="17"/>
        <v>12075792.11445</v>
      </c>
      <c r="F45" s="12">
        <f t="shared" si="17"/>
        <v>-2791828.48233</v>
      </c>
      <c r="G45" s="12">
        <f t="shared" si="17"/>
        <v>-110771.85829</v>
      </c>
    </row>
    <row r="46" spans="2:21" x14ac:dyDescent="0.25">
      <c r="B46" s="3" t="str">
        <f t="shared" si="16"/>
        <v>Total Otras Marcas</v>
      </c>
      <c r="C46" s="12">
        <f t="shared" si="17"/>
        <v>-15611237.07244</v>
      </c>
      <c r="D46" s="12">
        <f t="shared" si="17"/>
        <v>-622214.47328999999</v>
      </c>
      <c r="E46" s="12">
        <f t="shared" si="17"/>
        <v>6496918.5206800001</v>
      </c>
      <c r="F46" s="12">
        <f t="shared" si="17"/>
        <v>-2538976.0651400001</v>
      </c>
      <c r="G46" s="12">
        <f t="shared" si="17"/>
        <v>555605.07019</v>
      </c>
    </row>
    <row r="47" spans="2:21" x14ac:dyDescent="0.25">
      <c r="B47" s="3" t="str">
        <f t="shared" si="16"/>
        <v>Total Binner</v>
      </c>
      <c r="C47" s="12">
        <f t="shared" si="17"/>
        <v>8305092.6999000004</v>
      </c>
      <c r="D47" s="12">
        <f t="shared" si="17"/>
        <v>-274900.92927000002</v>
      </c>
      <c r="E47" s="12">
        <f t="shared" si="17"/>
        <v>-546172.31703999999</v>
      </c>
      <c r="F47" s="12">
        <f t="shared" si="17"/>
        <v>-1809314.52306</v>
      </c>
      <c r="G47" s="12">
        <f t="shared" si="17"/>
        <v>2151591.0794700002</v>
      </c>
    </row>
    <row r="48" spans="2:21" x14ac:dyDescent="0.25">
      <c r="B48" s="3" t="str">
        <f t="shared" si="16"/>
        <v>Total Finish</v>
      </c>
      <c r="C48" s="12">
        <f t="shared" si="17"/>
        <v>2296367.0714199999</v>
      </c>
      <c r="D48" s="12">
        <f t="shared" si="17"/>
        <v>-420272.89782999997</v>
      </c>
      <c r="E48" s="12">
        <f t="shared" si="17"/>
        <v>-6614753.8590599997</v>
      </c>
      <c r="F48" s="12">
        <f t="shared" si="17"/>
        <v>-1927245.15518</v>
      </c>
      <c r="G48" s="12">
        <f t="shared" si="17"/>
        <v>3763836.8406600002</v>
      </c>
    </row>
    <row r="49" spans="2:5" x14ac:dyDescent="0.25">
      <c r="B49" s="5"/>
      <c r="C49" s="6"/>
      <c r="D49" s="6"/>
      <c r="E49" s="7"/>
    </row>
    <row r="50" spans="2:5" x14ac:dyDescent="0.25">
      <c r="B50" s="5"/>
      <c r="C50" s="6"/>
      <c r="D50" s="6"/>
      <c r="E50" s="7"/>
    </row>
  </sheetData>
  <autoFilter ref="A1:RF13" xr:uid="{C07D3860-591D-498D-B549-BC78A676CCD5}">
    <sortState xmlns:xlrd2="http://schemas.microsoft.com/office/spreadsheetml/2017/richdata2" ref="A2:RF13">
      <sortCondition descending="1" ref="NL1:NL13"/>
    </sortState>
  </autoFilter>
  <mergeCells count="2">
    <mergeCell ref="B18:M18"/>
    <mergeCell ref="B36:G36"/>
  </mergeCells>
  <phoneticPr fontId="5" type="noConversion"/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43c21b-b536-4d78-bd20-5aa94e8a1bbc" xsi:nil="true"/>
    <TaxCatchAll xmlns="7a8f8eb1-5313-42bc-a8f9-b025d2e32159" xsi:nil="true"/>
    <LikesCount xmlns="http://schemas.microsoft.com/sharepoint/v3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PublishingExpirationDate xmlns="http://schemas.microsoft.com/sharepoint/v3" xsi:nil="true"/>
    <PublishingStartDate xmlns="http://schemas.microsoft.com/sharepoint/v3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207C59DC24464E82970172BCE7EF49" ma:contentTypeVersion="22" ma:contentTypeDescription="Create a new document." ma:contentTypeScope="" ma:versionID="3405a822a7f77d6d4f1050cb8626f85c">
  <xsd:schema xmlns:xsd="http://www.w3.org/2001/XMLSchema" xmlns:xs="http://www.w3.org/2001/XMLSchema" xmlns:p="http://schemas.microsoft.com/office/2006/metadata/properties" xmlns:ns1="http://schemas.microsoft.com/sharepoint/v3" xmlns:ns2="7a8f8eb1-5313-42bc-a8f9-b025d2e32159" xmlns:ns3="f143c21b-b536-4d78-bd20-5aa94e8a1bbc" targetNamespace="http://schemas.microsoft.com/office/2006/metadata/properties" ma:root="true" ma:fieldsID="16c1aa79b40e0058266729026867dce3" ns1:_="" ns2:_="" ns3:_="">
    <xsd:import namespace="http://schemas.microsoft.com/sharepoint/v3"/>
    <xsd:import namespace="7a8f8eb1-5313-42bc-a8f9-b025d2e32159"/>
    <xsd:import namespace="f143c21b-b536-4d78-bd20-5aa94e8a1bb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AverageRating" minOccurs="0"/>
                <xsd:element ref="ns1:RatingCount" minOccurs="0"/>
                <xsd:element ref="ns1:LikesCount" minOccurs="0"/>
                <xsd:element ref="ns1:RatedBy" minOccurs="0"/>
                <xsd:element ref="ns1:Ratings" minOccurs="0"/>
                <xsd:element ref="ns1:LikedBy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3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  <xsd:element name="AverageRating" ma:index="4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5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LikesCount" ma:index="6" nillable="true" ma:displayName="Number of Likes" ma:internalName="LikesCount">
      <xsd:simpleType>
        <xsd:restriction base="dms:Unknown"/>
      </xsd:simpleType>
    </xsd:element>
    <xsd:element name="RatedBy" ma:index="10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11" nillable="true" ma:displayName="User ratings" ma:description="User ratings for the item" ma:hidden="true" ma:internalName="Ratings">
      <xsd:simpleType>
        <xsd:restriction base="dms:Note"/>
      </xsd:simpleType>
    </xsd:element>
    <xsd:element name="LikedBy" ma:index="13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f8eb1-5313-42bc-a8f9-b025d2e3215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3e81b7-26b4-4121-91a5-5a8dad8fc76c}" ma:internalName="TaxCatchAll" ma:showField="CatchAllData" ma:web="7a8f8eb1-5313-42bc-a8f9-b025d2e321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3c21b-b536-4d78-bd20-5aa94e8a1bb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7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CD02DB-6611-4E30-A305-093BA6EF75D5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http://purl.org/dc/dcmitype/"/>
    <ds:schemaRef ds:uri="http://schemas.openxmlformats.org/package/2006/metadata/core-properties"/>
    <ds:schemaRef ds:uri="f143c21b-b536-4d78-bd20-5aa94e8a1bbc"/>
    <ds:schemaRef ds:uri="http://schemas.microsoft.com/office/2006/metadata/properties"/>
    <ds:schemaRef ds:uri="http://purl.org/dc/elements/1.1/"/>
    <ds:schemaRef ds:uri="http://schemas.microsoft.com/office/infopath/2007/PartnerControls"/>
    <ds:schemaRef ds:uri="7a8f8eb1-5313-42bc-a8f9-b025d2e3215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A17BB2-B44D-4163-B845-05EEBC7459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a8f8eb1-5313-42bc-a8f9-b025d2e32159"/>
    <ds:schemaRef ds:uri="f143c21b-b536-4d78-bd20-5aa94e8a1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E34F2D-4F6F-4F37-B252-D9A4E4AA67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02_Marca_OUTPUT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Amaya</dc:creator>
  <cp:lastModifiedBy>Carlos Amaya</cp:lastModifiedBy>
  <dcterms:created xsi:type="dcterms:W3CDTF">2020-02-12T17:03:34Z</dcterms:created>
  <dcterms:modified xsi:type="dcterms:W3CDTF">2026-04-18T00:40:20Z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0x01010084207C59DC24464E82970172BCE7EF49</vt:lpwstr>
  </property>
  <property fmtid="{D5CDD505-2E9C-101B-9397-08002B2CF9AE}" pid="3" name="MediaServiceImageTags">
    <vt:lpwstr/>
  </property>
</Properties>
</file>